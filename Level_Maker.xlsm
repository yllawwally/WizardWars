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lly\arduino\Arduboy-master\Pat_Game\"/>
    </mc:Choice>
  </mc:AlternateContent>
  <bookViews>
    <workbookView xWindow="0" yWindow="0" windowWidth="28800" windowHeight="12630"/>
  </bookViews>
  <sheets>
    <sheet name="Map" sheetId="2" r:id="rId1"/>
    <sheet name="Items" sheetId="3" r:id="rId2"/>
  </sheets>
  <definedNames>
    <definedName name="tile">INDEX(#REF!,MATCH(#REF!,#REF!,0),3)</definedName>
  </definedNames>
  <calcPr calcId="152511" iterate="1" iterateCount="4000" iterateDelta="4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AP66" i="2" l="1"/>
  <c r="AP65" i="2"/>
  <c r="AP64" i="2"/>
  <c r="AP63" i="2"/>
  <c r="AP62" i="2"/>
  <c r="AP61" i="2"/>
  <c r="AP60" i="2"/>
  <c r="AP59" i="2"/>
  <c r="AP58" i="2"/>
  <c r="AP57" i="2"/>
  <c r="AP56" i="2"/>
  <c r="AP55" i="2"/>
  <c r="AP54" i="2"/>
  <c r="AP53" i="2"/>
  <c r="AP52" i="2"/>
  <c r="AP51" i="2"/>
  <c r="P56" i="2" l="1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C66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C51" i="2"/>
</calcChain>
</file>

<file path=xl/sharedStrings.xml><?xml version="1.0" encoding="utf-8"?>
<sst xmlns="http://schemas.openxmlformats.org/spreadsheetml/2006/main" count="162" uniqueCount="44">
  <si>
    <t>Player</t>
  </si>
  <si>
    <t>Stone Floor</t>
  </si>
  <si>
    <t>x means ignore number</t>
  </si>
  <si>
    <t>128 possible tiles</t>
  </si>
  <si>
    <t>first 128 are in back of player</t>
  </si>
  <si>
    <t>128 to 255 are in front of player</t>
  </si>
  <si>
    <t>tile 20 is the same as 147</t>
  </si>
  <si>
    <t>Tiles take up 1k of ROM</t>
  </si>
  <si>
    <t>Player is a separate sprite, does not cont towards tile count</t>
  </si>
  <si>
    <t>Each level takes 2k of ROM</t>
  </si>
  <si>
    <t>},</t>
  </si>
  <si>
    <t>{</t>
  </si>
  <si>
    <t>}};</t>
  </si>
  <si>
    <t>const uint8_t Level[80][16] PROGMEM = {</t>
  </si>
  <si>
    <t>};</t>
  </si>
  <si>
    <t>}},</t>
  </si>
  <si>
    <t>Diagonal</t>
  </si>
  <si>
    <t>Stone Floor Damage</t>
  </si>
  <si>
    <t>3a</t>
  </si>
  <si>
    <t>3d</t>
  </si>
  <si>
    <t>3e</t>
  </si>
  <si>
    <t>3f</t>
  </si>
  <si>
    <t>2e</t>
  </si>
  <si>
    <t>2f</t>
  </si>
  <si>
    <t>A</t>
  </si>
  <si>
    <t>B</t>
  </si>
  <si>
    <t>C</t>
  </si>
  <si>
    <t>D</t>
  </si>
  <si>
    <t>E</t>
  </si>
  <si>
    <t>F</t>
  </si>
  <si>
    <t>1A</t>
  </si>
  <si>
    <t>1B</t>
  </si>
  <si>
    <t>1C</t>
  </si>
  <si>
    <t>1D</t>
  </si>
  <si>
    <t>1E</t>
  </si>
  <si>
    <t>1F</t>
  </si>
  <si>
    <t>Skeleton</t>
  </si>
  <si>
    <t>Spider</t>
  </si>
  <si>
    <t>Zombie</t>
  </si>
  <si>
    <t>Could compress by storing x+y as byte plus number, about half size I think</t>
  </si>
  <si>
    <t>Door Closed</t>
  </si>
  <si>
    <t>Door Open</t>
  </si>
  <si>
    <t>Switch Left</t>
  </si>
  <si>
    <t>Switch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</si>
</sst>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104775</xdr:rowOff>
        </xdr:from>
        <xdr:to>
          <xdr:col>1</xdr:col>
          <xdr:colOff>323850</xdr:colOff>
          <xdr:row>5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E67"/>
  <sheetViews>
    <sheetView tabSelected="1" topLeftCell="E4" workbookViewId="0">
      <selection activeCell="AP31" sqref="AP31"/>
    </sheetView>
  </sheetViews>
  <sheetFormatPr defaultRowHeight="14.25" x14ac:dyDescent="0.2"/>
  <cols>
    <col min="3" max="3" width="2.75" customWidth="1"/>
    <col min="4" max="83" width="2.875" customWidth="1"/>
  </cols>
  <sheetData>
    <row r="1" spans="1:83" x14ac:dyDescent="0.2">
      <c r="A1" t="s">
        <v>11</v>
      </c>
    </row>
    <row r="2" spans="1:83" x14ac:dyDescent="0.2">
      <c r="A2" t="s">
        <v>13</v>
      </c>
    </row>
    <row r="4" spans="1:83" ht="15" thickBot="1" x14ac:dyDescent="0.25"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  <c r="AH4">
        <v>32</v>
      </c>
      <c r="AI4">
        <v>33</v>
      </c>
      <c r="AJ4">
        <v>34</v>
      </c>
      <c r="AK4">
        <v>35</v>
      </c>
      <c r="AL4">
        <v>36</v>
      </c>
      <c r="AM4">
        <v>37</v>
      </c>
      <c r="AN4">
        <v>38</v>
      </c>
      <c r="AO4">
        <v>39</v>
      </c>
      <c r="AP4">
        <v>40</v>
      </c>
    </row>
    <row r="5" spans="1:83" ht="15.75" customHeight="1" x14ac:dyDescent="0.2">
      <c r="B5">
        <v>1</v>
      </c>
      <c r="C5" s="4">
        <v>20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3">
        <v>20</v>
      </c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3"/>
      <c r="CE5" s="2"/>
    </row>
    <row r="6" spans="1:83" ht="15.75" customHeight="1" x14ac:dyDescent="0.2">
      <c r="B6">
        <v>2</v>
      </c>
      <c r="C6" s="4">
        <v>20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6">
        <v>20</v>
      </c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6"/>
      <c r="CE6" s="5"/>
    </row>
    <row r="7" spans="1:83" ht="15.75" customHeight="1" x14ac:dyDescent="0.2">
      <c r="B7">
        <v>3</v>
      </c>
      <c r="C7" s="4">
        <v>20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11"/>
      <c r="AI7" s="5"/>
      <c r="AJ7" s="5"/>
      <c r="AK7" s="5"/>
      <c r="AL7" s="5"/>
      <c r="AM7" s="5"/>
      <c r="AN7" s="5"/>
      <c r="AO7" s="5"/>
      <c r="AP7" s="6">
        <v>20</v>
      </c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6"/>
      <c r="CE7" s="5"/>
    </row>
    <row r="8" spans="1:83" ht="15.75" customHeight="1" x14ac:dyDescent="0.2">
      <c r="B8">
        <v>4</v>
      </c>
      <c r="C8" s="4">
        <v>20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11"/>
      <c r="AP8" s="6">
        <v>20</v>
      </c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6"/>
      <c r="CE8" s="5"/>
    </row>
    <row r="9" spans="1:83" ht="15.75" customHeight="1" x14ac:dyDescent="0.2">
      <c r="B9">
        <v>5</v>
      </c>
      <c r="C9" s="4">
        <v>20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10"/>
      <c r="AG9" s="10"/>
      <c r="AH9" s="10"/>
      <c r="AI9" s="5"/>
      <c r="AJ9" s="5"/>
      <c r="AK9" s="5"/>
      <c r="AL9" s="5"/>
      <c r="AM9" s="5"/>
      <c r="AN9" s="5"/>
      <c r="AO9" s="5"/>
      <c r="AP9" s="6">
        <v>20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6"/>
      <c r="CE9" s="5"/>
    </row>
    <row r="10" spans="1:83" ht="15.75" customHeight="1" x14ac:dyDescent="0.2">
      <c r="B10">
        <v>6</v>
      </c>
      <c r="C10" s="4">
        <v>20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10">
        <v>37</v>
      </c>
      <c r="AN10" s="10" t="s">
        <v>18</v>
      </c>
      <c r="AO10" s="10" t="s">
        <v>19</v>
      </c>
      <c r="AP10" s="6">
        <v>20</v>
      </c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6"/>
      <c r="CE10" s="5"/>
    </row>
    <row r="11" spans="1:83" ht="15.75" customHeight="1" x14ac:dyDescent="0.2">
      <c r="B11">
        <v>7</v>
      </c>
      <c r="C11" s="4">
        <v>20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10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10"/>
      <c r="AH11" s="5"/>
      <c r="AI11" s="5"/>
      <c r="AJ11" s="5"/>
      <c r="AK11" s="5"/>
      <c r="AL11" s="5"/>
      <c r="AM11" s="5">
        <v>38</v>
      </c>
      <c r="AN11" s="5"/>
      <c r="AO11" s="5" t="s">
        <v>20</v>
      </c>
      <c r="AP11" s="6">
        <v>20</v>
      </c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6"/>
      <c r="CE11" s="5"/>
    </row>
    <row r="12" spans="1:83" ht="15.75" customHeight="1" x14ac:dyDescent="0.2">
      <c r="B12">
        <v>8</v>
      </c>
      <c r="C12" s="4">
        <v>20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>
        <v>39</v>
      </c>
      <c r="AN12" s="5"/>
      <c r="AO12" s="5" t="s">
        <v>21</v>
      </c>
      <c r="AP12" s="6">
        <v>20</v>
      </c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6"/>
      <c r="CE12" s="5"/>
    </row>
    <row r="13" spans="1:83" ht="15.75" customHeight="1" x14ac:dyDescent="0.2">
      <c r="B13">
        <v>9</v>
      </c>
      <c r="C13" s="4">
        <v>20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10"/>
      <c r="AH13" s="5"/>
      <c r="AI13" s="5"/>
      <c r="AJ13" s="5"/>
      <c r="AK13" s="5"/>
      <c r="AL13" s="5">
        <v>20</v>
      </c>
      <c r="AM13" s="5">
        <v>20</v>
      </c>
      <c r="AN13" s="5">
        <v>20</v>
      </c>
      <c r="AO13" s="5">
        <v>20</v>
      </c>
      <c r="AP13" s="6">
        <v>20</v>
      </c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6"/>
      <c r="CE13" s="5"/>
    </row>
    <row r="14" spans="1:83" ht="15.75" customHeight="1" x14ac:dyDescent="0.2">
      <c r="B14">
        <v>10</v>
      </c>
      <c r="C14" s="4">
        <v>20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>
        <v>40</v>
      </c>
      <c r="AB14" s="5"/>
      <c r="AC14" s="5"/>
      <c r="AD14" s="5"/>
      <c r="AE14" s="5">
        <v>20</v>
      </c>
      <c r="AF14" s="5">
        <v>20</v>
      </c>
      <c r="AG14" s="5">
        <v>20</v>
      </c>
      <c r="AH14" s="5"/>
      <c r="AI14" s="10">
        <v>20</v>
      </c>
      <c r="AJ14" s="10">
        <v>20</v>
      </c>
      <c r="AK14" s="10"/>
      <c r="AL14" s="5"/>
      <c r="AM14" s="10"/>
      <c r="AN14" s="5"/>
      <c r="AO14" s="5"/>
      <c r="AP14" s="6">
        <v>20</v>
      </c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6"/>
      <c r="CE14" s="5"/>
    </row>
    <row r="15" spans="1:83" ht="15.75" customHeight="1" x14ac:dyDescent="0.2">
      <c r="B15">
        <v>11</v>
      </c>
      <c r="C15" s="4">
        <v>20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>
        <v>40</v>
      </c>
      <c r="AB15" s="5">
        <v>20</v>
      </c>
      <c r="AC15" s="5">
        <v>20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>
        <v>20</v>
      </c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6"/>
      <c r="CE15" s="5"/>
    </row>
    <row r="16" spans="1:83" ht="15.75" customHeight="1" x14ac:dyDescent="0.2">
      <c r="B16">
        <v>12</v>
      </c>
      <c r="C16" s="4">
        <v>20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>
        <v>20</v>
      </c>
      <c r="O16" s="5">
        <v>20</v>
      </c>
      <c r="P16" s="5">
        <v>20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>
        <v>40</v>
      </c>
      <c r="AB16" s="5"/>
      <c r="AC16" s="5">
        <v>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>
        <v>20</v>
      </c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6"/>
      <c r="CE16" s="5"/>
    </row>
    <row r="17" spans="2:83" ht="15.75" customHeight="1" x14ac:dyDescent="0.2">
      <c r="B17">
        <v>13</v>
      </c>
      <c r="C17" s="4">
        <v>20</v>
      </c>
      <c r="D17" s="5"/>
      <c r="E17" s="5"/>
      <c r="F17" s="5"/>
      <c r="G17" s="5" t="s">
        <v>22</v>
      </c>
      <c r="H17" s="5">
        <v>31</v>
      </c>
      <c r="I17" s="11">
        <v>34</v>
      </c>
      <c r="J17" s="5"/>
      <c r="K17" s="5"/>
      <c r="L17" s="5"/>
      <c r="M17" s="5">
        <v>20</v>
      </c>
      <c r="N17" s="5">
        <v>21</v>
      </c>
      <c r="O17" s="5"/>
      <c r="P17" s="5"/>
      <c r="Q17" s="5"/>
      <c r="R17" s="5"/>
      <c r="S17" s="5"/>
      <c r="T17" s="5"/>
      <c r="U17" s="5"/>
      <c r="V17" s="5"/>
      <c r="W17" s="5"/>
      <c r="X17" s="10"/>
      <c r="Y17" s="5"/>
      <c r="Z17" s="5"/>
      <c r="AA17" s="5">
        <v>40</v>
      </c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11"/>
      <c r="AP17" s="6">
        <v>20</v>
      </c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6"/>
      <c r="CE17" s="5"/>
    </row>
    <row r="18" spans="2:83" ht="15.75" customHeight="1" x14ac:dyDescent="0.2">
      <c r="B18">
        <v>14</v>
      </c>
      <c r="C18" s="4">
        <v>20</v>
      </c>
      <c r="D18" s="5"/>
      <c r="E18" s="5">
        <v>1</v>
      </c>
      <c r="F18" s="5"/>
      <c r="G18" s="5" t="s">
        <v>23</v>
      </c>
      <c r="H18" s="5">
        <v>32</v>
      </c>
      <c r="I18" s="5">
        <v>35</v>
      </c>
      <c r="J18" s="5"/>
      <c r="K18" s="5"/>
      <c r="L18" s="5">
        <v>20</v>
      </c>
      <c r="M18" s="10">
        <v>21</v>
      </c>
      <c r="N18" s="5"/>
      <c r="O18" s="5"/>
      <c r="P18" s="5"/>
      <c r="Q18" s="5"/>
      <c r="R18" s="10"/>
      <c r="S18" s="5"/>
      <c r="T18" s="5">
        <v>2</v>
      </c>
      <c r="U18" s="5"/>
      <c r="V18" s="5"/>
      <c r="W18" s="5">
        <v>4</v>
      </c>
      <c r="X18" s="5"/>
      <c r="Y18" s="5"/>
      <c r="Z18" s="5"/>
      <c r="AA18" s="5">
        <v>40</v>
      </c>
      <c r="AB18" s="5"/>
      <c r="AC18" s="5"/>
      <c r="AD18" s="5"/>
      <c r="AE18" s="5">
        <v>41</v>
      </c>
      <c r="AF18" s="5">
        <v>43</v>
      </c>
      <c r="AG18" s="5"/>
      <c r="AH18" s="5">
        <v>47</v>
      </c>
      <c r="AI18" s="10">
        <v>45</v>
      </c>
      <c r="AJ18" s="5"/>
      <c r="AK18" s="5"/>
      <c r="AL18" s="5"/>
      <c r="AM18" s="5"/>
      <c r="AN18" s="5"/>
      <c r="AO18" s="5"/>
      <c r="AP18" s="6">
        <v>20</v>
      </c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6"/>
      <c r="CE18" s="5"/>
    </row>
    <row r="19" spans="2:83" ht="15.75" customHeight="1" x14ac:dyDescent="0.2">
      <c r="B19">
        <v>15</v>
      </c>
      <c r="C19" s="4">
        <v>20</v>
      </c>
      <c r="D19" s="5"/>
      <c r="E19" s="5"/>
      <c r="F19" s="5"/>
      <c r="G19" s="10">
        <v>30</v>
      </c>
      <c r="H19" s="10">
        <v>33</v>
      </c>
      <c r="I19" s="10">
        <v>36</v>
      </c>
      <c r="J19" s="5"/>
      <c r="K19" s="5">
        <v>20</v>
      </c>
      <c r="L19" s="5">
        <v>21</v>
      </c>
      <c r="M19" s="5"/>
      <c r="N19" s="5"/>
      <c r="O19" s="5"/>
      <c r="P19" s="5"/>
      <c r="Q19" s="10"/>
      <c r="R19" s="5"/>
      <c r="S19" s="5"/>
      <c r="T19" s="5"/>
      <c r="U19" s="5"/>
      <c r="V19" s="5"/>
      <c r="W19" s="5"/>
      <c r="X19" s="5"/>
      <c r="Y19" s="5"/>
      <c r="Z19" s="5"/>
      <c r="AA19" s="5">
        <v>40</v>
      </c>
      <c r="AB19" s="5"/>
      <c r="AC19" s="5"/>
      <c r="AD19" s="5"/>
      <c r="AE19" s="5">
        <v>42</v>
      </c>
      <c r="AF19" s="5">
        <v>44</v>
      </c>
      <c r="AG19" s="5"/>
      <c r="AH19" s="5">
        <v>48</v>
      </c>
      <c r="AI19" s="10">
        <v>46</v>
      </c>
      <c r="AJ19" s="5"/>
      <c r="AK19" s="5"/>
      <c r="AL19" s="5"/>
      <c r="AM19" s="10"/>
      <c r="AN19" s="10"/>
      <c r="AO19" s="10"/>
      <c r="AP19" s="6">
        <v>20</v>
      </c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6"/>
      <c r="CE19" s="5"/>
    </row>
    <row r="20" spans="2:83" ht="15.75" customHeight="1" thickBot="1" x14ac:dyDescent="0.25">
      <c r="B20">
        <v>16</v>
      </c>
      <c r="C20" s="7">
        <v>20</v>
      </c>
      <c r="D20" s="8">
        <v>20</v>
      </c>
      <c r="E20" s="8">
        <v>20</v>
      </c>
      <c r="F20" s="8">
        <v>20</v>
      </c>
      <c r="G20" s="8">
        <v>20</v>
      </c>
      <c r="H20" s="8">
        <v>20</v>
      </c>
      <c r="I20" s="8">
        <v>20</v>
      </c>
      <c r="J20" s="8">
        <v>20</v>
      </c>
      <c r="K20" s="8">
        <v>20</v>
      </c>
      <c r="L20" s="8">
        <v>20</v>
      </c>
      <c r="M20" s="8">
        <v>20</v>
      </c>
      <c r="N20" s="8">
        <v>20</v>
      </c>
      <c r="O20" s="8">
        <v>20</v>
      </c>
      <c r="P20" s="8">
        <v>20</v>
      </c>
      <c r="Q20" s="8">
        <v>20</v>
      </c>
      <c r="R20" s="8">
        <v>20</v>
      </c>
      <c r="S20" s="8">
        <v>20</v>
      </c>
      <c r="T20" s="8">
        <v>20</v>
      </c>
      <c r="U20" s="8">
        <v>20</v>
      </c>
      <c r="V20" s="8">
        <v>20</v>
      </c>
      <c r="W20" s="8">
        <v>20</v>
      </c>
      <c r="X20" s="8">
        <v>20</v>
      </c>
      <c r="Y20" s="8">
        <v>20</v>
      </c>
      <c r="Z20" s="8">
        <v>20</v>
      </c>
      <c r="AA20" s="8">
        <v>20</v>
      </c>
      <c r="AB20" s="8">
        <v>20</v>
      </c>
      <c r="AC20" s="8">
        <v>20</v>
      </c>
      <c r="AD20" s="8">
        <v>20</v>
      </c>
      <c r="AE20" s="8">
        <v>20</v>
      </c>
      <c r="AF20" s="8">
        <v>20</v>
      </c>
      <c r="AG20" s="8">
        <v>20</v>
      </c>
      <c r="AH20" s="8">
        <v>20</v>
      </c>
      <c r="AI20" s="8">
        <v>20</v>
      </c>
      <c r="AJ20" s="8">
        <v>20</v>
      </c>
      <c r="AK20" s="8">
        <v>20</v>
      </c>
      <c r="AL20" s="8">
        <v>20</v>
      </c>
      <c r="AM20" s="8">
        <v>20</v>
      </c>
      <c r="AN20" s="8">
        <v>20</v>
      </c>
      <c r="AO20" s="8">
        <v>20</v>
      </c>
      <c r="AP20" s="9">
        <v>20</v>
      </c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9"/>
      <c r="CE20" s="8"/>
    </row>
    <row r="21" spans="2:83" ht="47.25" customHeight="1" x14ac:dyDescent="0.2"/>
    <row r="22" spans="2:83" x14ac:dyDescent="0.2">
      <c r="B22">
        <f>26*8</f>
        <v>208</v>
      </c>
      <c r="F22" t="s">
        <v>2</v>
      </c>
      <c r="AB22" t="s">
        <v>39</v>
      </c>
    </row>
    <row r="24" spans="2:83" x14ac:dyDescent="0.2">
      <c r="F24" t="s">
        <v>3</v>
      </c>
      <c r="Q24" t="s">
        <v>6</v>
      </c>
    </row>
    <row r="25" spans="2:83" x14ac:dyDescent="0.2">
      <c r="F25" t="s">
        <v>4</v>
      </c>
    </row>
    <row r="26" spans="2:83" x14ac:dyDescent="0.2">
      <c r="F26" t="s">
        <v>5</v>
      </c>
      <c r="AD26" t="s">
        <v>40</v>
      </c>
      <c r="AJ26" t="s">
        <v>42</v>
      </c>
    </row>
    <row r="27" spans="2:83" x14ac:dyDescent="0.2">
      <c r="AD27" s="5" t="s">
        <v>22</v>
      </c>
      <c r="AE27" s="5">
        <v>31</v>
      </c>
      <c r="AF27" s="11">
        <v>34</v>
      </c>
      <c r="AJ27" s="5">
        <v>41</v>
      </c>
      <c r="AK27" s="5">
        <v>43</v>
      </c>
    </row>
    <row r="28" spans="2:83" x14ac:dyDescent="0.2">
      <c r="F28" t="s">
        <v>7</v>
      </c>
      <c r="AD28" s="5" t="s">
        <v>23</v>
      </c>
      <c r="AE28" s="5">
        <v>32</v>
      </c>
      <c r="AF28" s="5">
        <v>35</v>
      </c>
      <c r="AJ28" s="5">
        <v>42</v>
      </c>
      <c r="AK28" s="5">
        <v>44</v>
      </c>
    </row>
    <row r="29" spans="2:83" x14ac:dyDescent="0.2">
      <c r="F29" t="s">
        <v>8</v>
      </c>
      <c r="AD29" s="10">
        <v>30</v>
      </c>
      <c r="AE29" s="10">
        <v>33</v>
      </c>
      <c r="AF29" s="10">
        <v>36</v>
      </c>
    </row>
    <row r="31" spans="2:83" x14ac:dyDescent="0.2">
      <c r="F31" t="s">
        <v>9</v>
      </c>
      <c r="AD31" t="s">
        <v>41</v>
      </c>
      <c r="AJ31" t="s">
        <v>43</v>
      </c>
    </row>
    <row r="32" spans="2:83" x14ac:dyDescent="0.2">
      <c r="AD32" s="10">
        <v>37</v>
      </c>
      <c r="AE32" s="10" t="s">
        <v>18</v>
      </c>
      <c r="AF32" s="10" t="s">
        <v>19</v>
      </c>
      <c r="AJ32" s="5">
        <v>47</v>
      </c>
      <c r="AK32" s="10">
        <v>45</v>
      </c>
    </row>
    <row r="33" spans="30:37" x14ac:dyDescent="0.2">
      <c r="AD33" s="5">
        <v>38</v>
      </c>
      <c r="AE33" s="5"/>
      <c r="AF33" s="5" t="s">
        <v>20</v>
      </c>
      <c r="AJ33" s="5">
        <v>48</v>
      </c>
      <c r="AK33" s="10">
        <v>46</v>
      </c>
    </row>
    <row r="34" spans="30:37" x14ac:dyDescent="0.2">
      <c r="AD34" s="5">
        <v>39</v>
      </c>
      <c r="AE34" s="5"/>
      <c r="AF34" s="5" t="s">
        <v>21</v>
      </c>
    </row>
    <row r="50" spans="2:82" ht="15" thickBot="1" x14ac:dyDescent="0.25">
      <c r="C50" t="s">
        <v>11</v>
      </c>
      <c r="D50" t="s">
        <v>11</v>
      </c>
      <c r="E50" t="s">
        <v>11</v>
      </c>
      <c r="F50" t="s">
        <v>11</v>
      </c>
      <c r="G50" t="s">
        <v>11</v>
      </c>
      <c r="H50" t="s">
        <v>11</v>
      </c>
      <c r="I50" t="s">
        <v>11</v>
      </c>
      <c r="J50" t="s">
        <v>11</v>
      </c>
      <c r="K50" t="s">
        <v>11</v>
      </c>
      <c r="L50" t="s">
        <v>11</v>
      </c>
      <c r="M50" t="s">
        <v>11</v>
      </c>
      <c r="N50" t="s">
        <v>11</v>
      </c>
      <c r="O50" t="s">
        <v>11</v>
      </c>
      <c r="P50" t="s">
        <v>11</v>
      </c>
      <c r="Q50" t="s">
        <v>11</v>
      </c>
      <c r="R50" t="s">
        <v>11</v>
      </c>
      <c r="S50" t="s">
        <v>11</v>
      </c>
      <c r="T50" t="s">
        <v>11</v>
      </c>
      <c r="U50" t="s">
        <v>11</v>
      </c>
      <c r="V50" t="s">
        <v>11</v>
      </c>
      <c r="W50" t="s">
        <v>11</v>
      </c>
      <c r="X50" t="s">
        <v>11</v>
      </c>
      <c r="Y50" t="s">
        <v>11</v>
      </c>
      <c r="Z50" t="s">
        <v>11</v>
      </c>
      <c r="AA50" t="s">
        <v>11</v>
      </c>
      <c r="AB50" t="s">
        <v>11</v>
      </c>
      <c r="AC50" t="s">
        <v>11</v>
      </c>
      <c r="AD50" t="s">
        <v>11</v>
      </c>
      <c r="AE50" t="s">
        <v>11</v>
      </c>
      <c r="AF50" t="s">
        <v>11</v>
      </c>
      <c r="AG50" t="s">
        <v>11</v>
      </c>
      <c r="AH50" t="s">
        <v>11</v>
      </c>
      <c r="AI50" t="s">
        <v>11</v>
      </c>
      <c r="AJ50" t="s">
        <v>11</v>
      </c>
      <c r="AK50" t="s">
        <v>11</v>
      </c>
      <c r="AL50" t="s">
        <v>11</v>
      </c>
      <c r="AM50" t="s">
        <v>11</v>
      </c>
      <c r="AN50" t="s">
        <v>11</v>
      </c>
      <c r="AO50" t="s">
        <v>11</v>
      </c>
      <c r="AP50" t="s">
        <v>11</v>
      </c>
    </row>
    <row r="51" spans="2:82" ht="15.75" customHeight="1" thickBot="1" x14ac:dyDescent="0.25">
      <c r="B51" t="s">
        <v>11</v>
      </c>
      <c r="C51" s="1" t="str">
        <f>IF(LEFT(C5,1)="X","0x00,",IF((0=C5),"0x00,","0x"&amp;C5&amp;","))</f>
        <v>0x20,</v>
      </c>
      <c r="D51" s="1" t="str">
        <f t="shared" ref="D51:AP51" si="0">IF(LEFT(D5,1)="X","0x00,",IF((0=D5),"0x00,","0x"&amp;D5&amp;","))</f>
        <v>0x00,</v>
      </c>
      <c r="E51" s="1" t="str">
        <f t="shared" si="0"/>
        <v>0x00,</v>
      </c>
      <c r="F51" s="1" t="str">
        <f t="shared" si="0"/>
        <v>0x00,</v>
      </c>
      <c r="G51" s="1" t="str">
        <f t="shared" si="0"/>
        <v>0x00,</v>
      </c>
      <c r="H51" s="1" t="str">
        <f t="shared" si="0"/>
        <v>0x00,</v>
      </c>
      <c r="I51" s="1" t="str">
        <f t="shared" si="0"/>
        <v>0x00,</v>
      </c>
      <c r="J51" s="1" t="str">
        <f t="shared" si="0"/>
        <v>0x00,</v>
      </c>
      <c r="K51" s="1" t="str">
        <f t="shared" si="0"/>
        <v>0x00,</v>
      </c>
      <c r="L51" s="1" t="str">
        <f t="shared" si="0"/>
        <v>0x00,</v>
      </c>
      <c r="M51" s="1" t="str">
        <f t="shared" si="0"/>
        <v>0x00,</v>
      </c>
      <c r="N51" s="1" t="str">
        <f t="shared" si="0"/>
        <v>0x00,</v>
      </c>
      <c r="O51" s="1" t="str">
        <f t="shared" si="0"/>
        <v>0x00,</v>
      </c>
      <c r="P51" s="1" t="str">
        <f t="shared" si="0"/>
        <v>0x00,</v>
      </c>
      <c r="Q51" s="1" t="str">
        <f t="shared" si="0"/>
        <v>0x00,</v>
      </c>
      <c r="R51" s="1" t="str">
        <f t="shared" si="0"/>
        <v>0x00,</v>
      </c>
      <c r="S51" s="1" t="str">
        <f t="shared" si="0"/>
        <v>0x00,</v>
      </c>
      <c r="T51" s="1" t="str">
        <f t="shared" si="0"/>
        <v>0x00,</v>
      </c>
      <c r="U51" s="1" t="str">
        <f t="shared" si="0"/>
        <v>0x00,</v>
      </c>
      <c r="V51" s="1" t="str">
        <f t="shared" si="0"/>
        <v>0x00,</v>
      </c>
      <c r="W51" s="1" t="str">
        <f t="shared" si="0"/>
        <v>0x00,</v>
      </c>
      <c r="X51" s="1" t="str">
        <f t="shared" si="0"/>
        <v>0x00,</v>
      </c>
      <c r="Y51" s="1" t="str">
        <f t="shared" si="0"/>
        <v>0x00,</v>
      </c>
      <c r="Z51" s="1" t="str">
        <f t="shared" si="0"/>
        <v>0x00,</v>
      </c>
      <c r="AA51" s="1" t="str">
        <f t="shared" si="0"/>
        <v>0x00,</v>
      </c>
      <c r="AB51" s="1" t="str">
        <f t="shared" si="0"/>
        <v>0x00,</v>
      </c>
      <c r="AC51" s="1" t="str">
        <f t="shared" si="0"/>
        <v>0x00,</v>
      </c>
      <c r="AD51" s="1" t="str">
        <f t="shared" si="0"/>
        <v>0x00,</v>
      </c>
      <c r="AE51" s="1" t="str">
        <f t="shared" si="0"/>
        <v>0x00,</v>
      </c>
      <c r="AF51" s="1" t="str">
        <f t="shared" si="0"/>
        <v>0x00,</v>
      </c>
      <c r="AG51" s="1" t="str">
        <f t="shared" si="0"/>
        <v>0x00,</v>
      </c>
      <c r="AH51" s="1" t="str">
        <f t="shared" si="0"/>
        <v>0x00,</v>
      </c>
      <c r="AI51" s="1" t="str">
        <f t="shared" si="0"/>
        <v>0x00,</v>
      </c>
      <c r="AJ51" s="1" t="str">
        <f t="shared" si="0"/>
        <v>0x00,</v>
      </c>
      <c r="AK51" s="1" t="str">
        <f t="shared" si="0"/>
        <v>0x00,</v>
      </c>
      <c r="AL51" s="1" t="str">
        <f t="shared" si="0"/>
        <v>0x00,</v>
      </c>
      <c r="AM51" s="1" t="str">
        <f t="shared" si="0"/>
        <v>0x00,</v>
      </c>
      <c r="AN51" s="1" t="str">
        <f t="shared" si="0"/>
        <v>0x00,</v>
      </c>
      <c r="AO51" s="1" t="str">
        <f t="shared" si="0"/>
        <v>0x00,</v>
      </c>
      <c r="AP51" s="1" t="str">
        <f t="shared" si="0"/>
        <v>0x20,</v>
      </c>
      <c r="AQ51" t="s">
        <v>10</v>
      </c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</row>
    <row r="52" spans="2:82" ht="15.75" customHeight="1" thickBot="1" x14ac:dyDescent="0.25">
      <c r="B52" t="s">
        <v>11</v>
      </c>
      <c r="C52" s="1" t="str">
        <f t="shared" ref="C52:AP52" si="1">IF(LEFT(C6,1)="X","0x00,",IF((0=C6),"0x00,","0x"&amp;C6&amp;","))</f>
        <v>0x20,</v>
      </c>
      <c r="D52" s="1" t="str">
        <f t="shared" si="1"/>
        <v>0x00,</v>
      </c>
      <c r="E52" s="1" t="str">
        <f t="shared" si="1"/>
        <v>0x00,</v>
      </c>
      <c r="F52" s="1" t="str">
        <f t="shared" si="1"/>
        <v>0x00,</v>
      </c>
      <c r="G52" s="1" t="str">
        <f t="shared" si="1"/>
        <v>0x00,</v>
      </c>
      <c r="H52" s="1" t="str">
        <f t="shared" si="1"/>
        <v>0x00,</v>
      </c>
      <c r="I52" s="1" t="str">
        <f t="shared" si="1"/>
        <v>0x00,</v>
      </c>
      <c r="J52" s="1" t="str">
        <f t="shared" si="1"/>
        <v>0x00,</v>
      </c>
      <c r="K52" s="1" t="str">
        <f t="shared" si="1"/>
        <v>0x00,</v>
      </c>
      <c r="L52" s="1" t="str">
        <f t="shared" si="1"/>
        <v>0x00,</v>
      </c>
      <c r="M52" s="1" t="str">
        <f t="shared" si="1"/>
        <v>0x00,</v>
      </c>
      <c r="N52" s="1" t="str">
        <f t="shared" si="1"/>
        <v>0x00,</v>
      </c>
      <c r="O52" s="1" t="str">
        <f t="shared" si="1"/>
        <v>0x00,</v>
      </c>
      <c r="P52" s="1" t="str">
        <f t="shared" si="1"/>
        <v>0x00,</v>
      </c>
      <c r="Q52" s="1" t="str">
        <f t="shared" si="1"/>
        <v>0x00,</v>
      </c>
      <c r="R52" s="1" t="str">
        <f t="shared" si="1"/>
        <v>0x00,</v>
      </c>
      <c r="S52" s="1" t="str">
        <f t="shared" si="1"/>
        <v>0x00,</v>
      </c>
      <c r="T52" s="1" t="str">
        <f t="shared" si="1"/>
        <v>0x00,</v>
      </c>
      <c r="U52" s="1" t="str">
        <f t="shared" si="1"/>
        <v>0x00,</v>
      </c>
      <c r="V52" s="1" t="str">
        <f t="shared" si="1"/>
        <v>0x00,</v>
      </c>
      <c r="W52" s="1" t="str">
        <f t="shared" si="1"/>
        <v>0x00,</v>
      </c>
      <c r="X52" s="1" t="str">
        <f t="shared" si="1"/>
        <v>0x00,</v>
      </c>
      <c r="Y52" s="1" t="str">
        <f t="shared" si="1"/>
        <v>0x00,</v>
      </c>
      <c r="Z52" s="1" t="str">
        <f t="shared" si="1"/>
        <v>0x00,</v>
      </c>
      <c r="AA52" s="1" t="str">
        <f t="shared" si="1"/>
        <v>0x00,</v>
      </c>
      <c r="AB52" s="1" t="str">
        <f t="shared" si="1"/>
        <v>0x00,</v>
      </c>
      <c r="AC52" s="1" t="str">
        <f t="shared" si="1"/>
        <v>0x00,</v>
      </c>
      <c r="AD52" s="1" t="str">
        <f t="shared" si="1"/>
        <v>0x00,</v>
      </c>
      <c r="AE52" s="1" t="str">
        <f t="shared" si="1"/>
        <v>0x00,</v>
      </c>
      <c r="AF52" s="1" t="str">
        <f t="shared" si="1"/>
        <v>0x00,</v>
      </c>
      <c r="AG52" s="1" t="str">
        <f t="shared" si="1"/>
        <v>0x00,</v>
      </c>
      <c r="AH52" s="1" t="str">
        <f t="shared" si="1"/>
        <v>0x00,</v>
      </c>
      <c r="AI52" s="1" t="str">
        <f t="shared" si="1"/>
        <v>0x00,</v>
      </c>
      <c r="AJ52" s="1" t="str">
        <f t="shared" si="1"/>
        <v>0x00,</v>
      </c>
      <c r="AK52" s="1" t="str">
        <f t="shared" si="1"/>
        <v>0x00,</v>
      </c>
      <c r="AL52" s="1" t="str">
        <f t="shared" si="1"/>
        <v>0x00,</v>
      </c>
      <c r="AM52" s="1" t="str">
        <f t="shared" si="1"/>
        <v>0x00,</v>
      </c>
      <c r="AN52" s="1" t="str">
        <f t="shared" si="1"/>
        <v>0x00,</v>
      </c>
      <c r="AO52" s="1" t="str">
        <f t="shared" si="1"/>
        <v>0x00,</v>
      </c>
      <c r="AP52" s="1" t="str">
        <f t="shared" si="1"/>
        <v>0x20,</v>
      </c>
      <c r="AQ52" t="s">
        <v>10</v>
      </c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</row>
    <row r="53" spans="2:82" ht="15.75" customHeight="1" thickBot="1" x14ac:dyDescent="0.25">
      <c r="B53" t="s">
        <v>11</v>
      </c>
      <c r="C53" s="1" t="str">
        <f t="shared" ref="C53:AP53" si="2">IF(LEFT(C7,1)="X","0x00,",IF((0=C7),"0x00,","0x"&amp;C7&amp;","))</f>
        <v>0x20,</v>
      </c>
      <c r="D53" s="1" t="str">
        <f t="shared" si="2"/>
        <v>0x00,</v>
      </c>
      <c r="E53" s="1" t="str">
        <f t="shared" si="2"/>
        <v>0x00,</v>
      </c>
      <c r="F53" s="1" t="str">
        <f t="shared" si="2"/>
        <v>0x00,</v>
      </c>
      <c r="G53" s="1" t="str">
        <f t="shared" si="2"/>
        <v>0x00,</v>
      </c>
      <c r="H53" s="1" t="str">
        <f t="shared" si="2"/>
        <v>0x00,</v>
      </c>
      <c r="I53" s="1" t="str">
        <f t="shared" si="2"/>
        <v>0x00,</v>
      </c>
      <c r="J53" s="1" t="str">
        <f t="shared" si="2"/>
        <v>0x00,</v>
      </c>
      <c r="K53" s="1" t="str">
        <f t="shared" si="2"/>
        <v>0x00,</v>
      </c>
      <c r="L53" s="1" t="str">
        <f t="shared" si="2"/>
        <v>0x00,</v>
      </c>
      <c r="M53" s="1" t="str">
        <f t="shared" si="2"/>
        <v>0x00,</v>
      </c>
      <c r="N53" s="1" t="str">
        <f t="shared" si="2"/>
        <v>0x00,</v>
      </c>
      <c r="O53" s="1" t="str">
        <f t="shared" si="2"/>
        <v>0x00,</v>
      </c>
      <c r="P53" s="1" t="str">
        <f t="shared" si="2"/>
        <v>0x00,</v>
      </c>
      <c r="Q53" s="1" t="str">
        <f t="shared" si="2"/>
        <v>0x00,</v>
      </c>
      <c r="R53" s="1" t="str">
        <f t="shared" si="2"/>
        <v>0x00,</v>
      </c>
      <c r="S53" s="1" t="str">
        <f t="shared" si="2"/>
        <v>0x00,</v>
      </c>
      <c r="T53" s="1" t="str">
        <f t="shared" si="2"/>
        <v>0x00,</v>
      </c>
      <c r="U53" s="1" t="str">
        <f t="shared" si="2"/>
        <v>0x00,</v>
      </c>
      <c r="V53" s="1" t="str">
        <f t="shared" si="2"/>
        <v>0x00,</v>
      </c>
      <c r="W53" s="1" t="str">
        <f t="shared" si="2"/>
        <v>0x00,</v>
      </c>
      <c r="X53" s="1" t="str">
        <f t="shared" si="2"/>
        <v>0x00,</v>
      </c>
      <c r="Y53" s="1" t="str">
        <f t="shared" si="2"/>
        <v>0x00,</v>
      </c>
      <c r="Z53" s="1" t="str">
        <f t="shared" si="2"/>
        <v>0x00,</v>
      </c>
      <c r="AA53" s="1" t="str">
        <f t="shared" si="2"/>
        <v>0x00,</v>
      </c>
      <c r="AB53" s="1" t="str">
        <f t="shared" si="2"/>
        <v>0x00,</v>
      </c>
      <c r="AC53" s="1" t="str">
        <f t="shared" si="2"/>
        <v>0x00,</v>
      </c>
      <c r="AD53" s="1" t="str">
        <f t="shared" si="2"/>
        <v>0x00,</v>
      </c>
      <c r="AE53" s="1" t="str">
        <f t="shared" si="2"/>
        <v>0x00,</v>
      </c>
      <c r="AF53" s="1" t="str">
        <f t="shared" si="2"/>
        <v>0x00,</v>
      </c>
      <c r="AG53" s="1" t="str">
        <f t="shared" si="2"/>
        <v>0x00,</v>
      </c>
      <c r="AH53" s="1" t="str">
        <f t="shared" si="2"/>
        <v>0x00,</v>
      </c>
      <c r="AI53" s="1" t="str">
        <f t="shared" si="2"/>
        <v>0x00,</v>
      </c>
      <c r="AJ53" s="1" t="str">
        <f t="shared" si="2"/>
        <v>0x00,</v>
      </c>
      <c r="AK53" s="1" t="str">
        <f t="shared" si="2"/>
        <v>0x00,</v>
      </c>
      <c r="AL53" s="1" t="str">
        <f t="shared" si="2"/>
        <v>0x00,</v>
      </c>
      <c r="AM53" s="1" t="str">
        <f t="shared" si="2"/>
        <v>0x00,</v>
      </c>
      <c r="AN53" s="1" t="str">
        <f t="shared" si="2"/>
        <v>0x00,</v>
      </c>
      <c r="AO53" s="1" t="str">
        <f t="shared" si="2"/>
        <v>0x00,</v>
      </c>
      <c r="AP53" s="1" t="str">
        <f t="shared" si="2"/>
        <v>0x20,</v>
      </c>
      <c r="AQ53" t="s">
        <v>10</v>
      </c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</row>
    <row r="54" spans="2:82" ht="15.75" customHeight="1" thickBot="1" x14ac:dyDescent="0.25">
      <c r="B54" t="s">
        <v>11</v>
      </c>
      <c r="C54" s="1" t="str">
        <f t="shared" ref="C54:AP54" si="3">IF(LEFT(C8,1)="X","0x00,",IF((0=C8),"0x00,","0x"&amp;C8&amp;","))</f>
        <v>0x20,</v>
      </c>
      <c r="D54" s="1" t="str">
        <f t="shared" si="3"/>
        <v>0x00,</v>
      </c>
      <c r="E54" s="1" t="str">
        <f t="shared" si="3"/>
        <v>0x00,</v>
      </c>
      <c r="F54" s="1" t="str">
        <f t="shared" si="3"/>
        <v>0x00,</v>
      </c>
      <c r="G54" s="1" t="str">
        <f t="shared" si="3"/>
        <v>0x00,</v>
      </c>
      <c r="H54" s="1" t="str">
        <f t="shared" si="3"/>
        <v>0x00,</v>
      </c>
      <c r="I54" s="1" t="str">
        <f t="shared" si="3"/>
        <v>0x00,</v>
      </c>
      <c r="J54" s="1" t="str">
        <f t="shared" si="3"/>
        <v>0x00,</v>
      </c>
      <c r="K54" s="1" t="str">
        <f t="shared" si="3"/>
        <v>0x00,</v>
      </c>
      <c r="L54" s="1" t="str">
        <f t="shared" si="3"/>
        <v>0x00,</v>
      </c>
      <c r="M54" s="1" t="str">
        <f t="shared" si="3"/>
        <v>0x00,</v>
      </c>
      <c r="N54" s="1" t="str">
        <f t="shared" si="3"/>
        <v>0x00,</v>
      </c>
      <c r="O54" s="1" t="str">
        <f t="shared" si="3"/>
        <v>0x00,</v>
      </c>
      <c r="P54" s="1" t="str">
        <f t="shared" si="3"/>
        <v>0x00,</v>
      </c>
      <c r="Q54" s="1" t="str">
        <f t="shared" si="3"/>
        <v>0x00,</v>
      </c>
      <c r="R54" s="1" t="str">
        <f t="shared" si="3"/>
        <v>0x00,</v>
      </c>
      <c r="S54" s="1" t="str">
        <f t="shared" si="3"/>
        <v>0x00,</v>
      </c>
      <c r="T54" s="1" t="str">
        <f t="shared" si="3"/>
        <v>0x00,</v>
      </c>
      <c r="U54" s="1" t="str">
        <f t="shared" si="3"/>
        <v>0x00,</v>
      </c>
      <c r="V54" s="1" t="str">
        <f t="shared" si="3"/>
        <v>0x00,</v>
      </c>
      <c r="W54" s="1" t="str">
        <f t="shared" si="3"/>
        <v>0x00,</v>
      </c>
      <c r="X54" s="1" t="str">
        <f t="shared" si="3"/>
        <v>0x00,</v>
      </c>
      <c r="Y54" s="1" t="str">
        <f t="shared" si="3"/>
        <v>0x00,</v>
      </c>
      <c r="Z54" s="1" t="str">
        <f t="shared" si="3"/>
        <v>0x00,</v>
      </c>
      <c r="AA54" s="1" t="str">
        <f t="shared" si="3"/>
        <v>0x00,</v>
      </c>
      <c r="AB54" s="1" t="str">
        <f t="shared" si="3"/>
        <v>0x00,</v>
      </c>
      <c r="AC54" s="1" t="str">
        <f t="shared" si="3"/>
        <v>0x00,</v>
      </c>
      <c r="AD54" s="1" t="str">
        <f t="shared" si="3"/>
        <v>0x00,</v>
      </c>
      <c r="AE54" s="1" t="str">
        <f t="shared" si="3"/>
        <v>0x00,</v>
      </c>
      <c r="AF54" s="1" t="str">
        <f t="shared" si="3"/>
        <v>0x00,</v>
      </c>
      <c r="AG54" s="1" t="str">
        <f t="shared" si="3"/>
        <v>0x00,</v>
      </c>
      <c r="AH54" s="1" t="str">
        <f t="shared" si="3"/>
        <v>0x00,</v>
      </c>
      <c r="AI54" s="1" t="str">
        <f t="shared" si="3"/>
        <v>0x00,</v>
      </c>
      <c r="AJ54" s="1" t="str">
        <f t="shared" si="3"/>
        <v>0x00,</v>
      </c>
      <c r="AK54" s="1" t="str">
        <f t="shared" si="3"/>
        <v>0x00,</v>
      </c>
      <c r="AL54" s="1" t="str">
        <f t="shared" si="3"/>
        <v>0x00,</v>
      </c>
      <c r="AM54" s="1" t="str">
        <f t="shared" si="3"/>
        <v>0x00,</v>
      </c>
      <c r="AN54" s="1" t="str">
        <f t="shared" si="3"/>
        <v>0x00,</v>
      </c>
      <c r="AO54" s="1" t="str">
        <f t="shared" si="3"/>
        <v>0x00,</v>
      </c>
      <c r="AP54" s="1" t="str">
        <f t="shared" si="3"/>
        <v>0x20,</v>
      </c>
      <c r="AQ54" t="s">
        <v>10</v>
      </c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</row>
    <row r="55" spans="2:82" ht="15.75" customHeight="1" thickBot="1" x14ac:dyDescent="0.25">
      <c r="B55" t="s">
        <v>11</v>
      </c>
      <c r="C55" s="1" t="str">
        <f t="shared" ref="C55:AP55" si="4">IF(LEFT(C9,1)="X","0x00,",IF((0=C9),"0x00,","0x"&amp;C9&amp;","))</f>
        <v>0x20,</v>
      </c>
      <c r="D55" s="1" t="str">
        <f t="shared" si="4"/>
        <v>0x00,</v>
      </c>
      <c r="E55" s="1" t="str">
        <f t="shared" si="4"/>
        <v>0x00,</v>
      </c>
      <c r="F55" s="1" t="str">
        <f t="shared" si="4"/>
        <v>0x00,</v>
      </c>
      <c r="G55" s="1" t="str">
        <f t="shared" si="4"/>
        <v>0x00,</v>
      </c>
      <c r="H55" s="1" t="str">
        <f t="shared" si="4"/>
        <v>0x00,</v>
      </c>
      <c r="I55" s="1" t="str">
        <f t="shared" si="4"/>
        <v>0x00,</v>
      </c>
      <c r="J55" s="1" t="str">
        <f t="shared" si="4"/>
        <v>0x00,</v>
      </c>
      <c r="K55" s="1" t="str">
        <f t="shared" si="4"/>
        <v>0x00,</v>
      </c>
      <c r="L55" s="1" t="str">
        <f t="shared" si="4"/>
        <v>0x00,</v>
      </c>
      <c r="M55" s="1" t="str">
        <f t="shared" si="4"/>
        <v>0x00,</v>
      </c>
      <c r="N55" s="1" t="str">
        <f t="shared" si="4"/>
        <v>0x00,</v>
      </c>
      <c r="O55" s="1" t="str">
        <f t="shared" si="4"/>
        <v>0x00,</v>
      </c>
      <c r="P55" s="1" t="str">
        <f t="shared" si="4"/>
        <v>0x00,</v>
      </c>
      <c r="Q55" s="1" t="str">
        <f t="shared" si="4"/>
        <v>0x00,</v>
      </c>
      <c r="R55" s="1" t="str">
        <f t="shared" si="4"/>
        <v>0x00,</v>
      </c>
      <c r="S55" s="1" t="str">
        <f t="shared" si="4"/>
        <v>0x00,</v>
      </c>
      <c r="T55" s="1" t="str">
        <f t="shared" si="4"/>
        <v>0x00,</v>
      </c>
      <c r="U55" s="1" t="str">
        <f t="shared" si="4"/>
        <v>0x00,</v>
      </c>
      <c r="V55" s="1" t="str">
        <f t="shared" si="4"/>
        <v>0x00,</v>
      </c>
      <c r="W55" s="1" t="str">
        <f t="shared" si="4"/>
        <v>0x00,</v>
      </c>
      <c r="X55" s="1" t="str">
        <f t="shared" si="4"/>
        <v>0x00,</v>
      </c>
      <c r="Y55" s="1" t="str">
        <f t="shared" si="4"/>
        <v>0x00,</v>
      </c>
      <c r="Z55" s="1" t="str">
        <f t="shared" si="4"/>
        <v>0x00,</v>
      </c>
      <c r="AA55" s="1" t="str">
        <f t="shared" si="4"/>
        <v>0x00,</v>
      </c>
      <c r="AB55" s="1" t="str">
        <f t="shared" si="4"/>
        <v>0x00,</v>
      </c>
      <c r="AC55" s="1" t="str">
        <f t="shared" si="4"/>
        <v>0x00,</v>
      </c>
      <c r="AD55" s="1" t="str">
        <f t="shared" si="4"/>
        <v>0x00,</v>
      </c>
      <c r="AE55" s="1" t="str">
        <f t="shared" si="4"/>
        <v>0x00,</v>
      </c>
      <c r="AF55" s="1" t="str">
        <f t="shared" si="4"/>
        <v>0x00,</v>
      </c>
      <c r="AG55" s="1" t="str">
        <f t="shared" si="4"/>
        <v>0x00,</v>
      </c>
      <c r="AH55" s="1" t="str">
        <f t="shared" si="4"/>
        <v>0x00,</v>
      </c>
      <c r="AI55" s="1" t="str">
        <f t="shared" si="4"/>
        <v>0x00,</v>
      </c>
      <c r="AJ55" s="1" t="str">
        <f t="shared" si="4"/>
        <v>0x00,</v>
      </c>
      <c r="AK55" s="1" t="str">
        <f t="shared" si="4"/>
        <v>0x00,</v>
      </c>
      <c r="AL55" s="1" t="str">
        <f t="shared" si="4"/>
        <v>0x00,</v>
      </c>
      <c r="AM55" s="1" t="str">
        <f t="shared" si="4"/>
        <v>0x00,</v>
      </c>
      <c r="AN55" s="1" t="str">
        <f t="shared" si="4"/>
        <v>0x00,</v>
      </c>
      <c r="AO55" s="1" t="str">
        <f t="shared" si="4"/>
        <v>0x00,</v>
      </c>
      <c r="AP55" s="1" t="str">
        <f t="shared" si="4"/>
        <v>0x20,</v>
      </c>
      <c r="AQ55" t="s">
        <v>10</v>
      </c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</row>
    <row r="56" spans="2:82" ht="15.75" customHeight="1" thickBot="1" x14ac:dyDescent="0.25">
      <c r="B56" t="s">
        <v>11</v>
      </c>
      <c r="C56" s="1" t="str">
        <f t="shared" ref="C56:AP56" si="5">IF(LEFT(C10,1)="X","0x00,",IF((0=C10),"0x00,","0x"&amp;C10&amp;","))</f>
        <v>0x20,</v>
      </c>
      <c r="D56" s="1" t="str">
        <f t="shared" si="5"/>
        <v>0x00,</v>
      </c>
      <c r="E56" s="1" t="str">
        <f t="shared" si="5"/>
        <v>0x00,</v>
      </c>
      <c r="F56" s="1" t="str">
        <f t="shared" si="5"/>
        <v>0x00,</v>
      </c>
      <c r="G56" s="1" t="str">
        <f t="shared" si="5"/>
        <v>0x00,</v>
      </c>
      <c r="H56" s="1" t="str">
        <f t="shared" si="5"/>
        <v>0x00,</v>
      </c>
      <c r="I56" s="1" t="str">
        <f t="shared" si="5"/>
        <v>0x00,</v>
      </c>
      <c r="J56" s="1" t="str">
        <f t="shared" si="5"/>
        <v>0x00,</v>
      </c>
      <c r="K56" s="1" t="str">
        <f t="shared" si="5"/>
        <v>0x00,</v>
      </c>
      <c r="L56" s="1" t="str">
        <f t="shared" si="5"/>
        <v>0x00,</v>
      </c>
      <c r="M56" s="1" t="str">
        <f t="shared" si="5"/>
        <v>0x00,</v>
      </c>
      <c r="N56" s="1" t="str">
        <f t="shared" si="5"/>
        <v>0x00,</v>
      </c>
      <c r="O56" s="1" t="str">
        <f t="shared" si="5"/>
        <v>0x00,</v>
      </c>
      <c r="P56" s="1" t="str">
        <f>P57</f>
        <v>0x00,</v>
      </c>
      <c r="Q56" s="1" t="str">
        <f t="shared" si="5"/>
        <v>0x00,</v>
      </c>
      <c r="R56" s="1" t="str">
        <f t="shared" si="5"/>
        <v>0x00,</v>
      </c>
      <c r="S56" s="1" t="str">
        <f t="shared" si="5"/>
        <v>0x00,</v>
      </c>
      <c r="T56" s="1" t="str">
        <f t="shared" si="5"/>
        <v>0x00,</v>
      </c>
      <c r="U56" s="1" t="str">
        <f t="shared" si="5"/>
        <v>0x00,</v>
      </c>
      <c r="V56" s="1" t="str">
        <f t="shared" si="5"/>
        <v>0x00,</v>
      </c>
      <c r="W56" s="1" t="str">
        <f t="shared" si="5"/>
        <v>0x00,</v>
      </c>
      <c r="X56" s="1" t="str">
        <f t="shared" si="5"/>
        <v>0x00,</v>
      </c>
      <c r="Y56" s="1" t="str">
        <f t="shared" si="5"/>
        <v>0x00,</v>
      </c>
      <c r="Z56" s="1" t="str">
        <f t="shared" si="5"/>
        <v>0x00,</v>
      </c>
      <c r="AA56" s="1" t="str">
        <f t="shared" si="5"/>
        <v>0x00,</v>
      </c>
      <c r="AB56" s="1" t="str">
        <f t="shared" si="5"/>
        <v>0x00,</v>
      </c>
      <c r="AC56" s="1" t="str">
        <f t="shared" si="5"/>
        <v>0x00,</v>
      </c>
      <c r="AD56" s="1" t="str">
        <f t="shared" si="5"/>
        <v>0x00,</v>
      </c>
      <c r="AE56" s="1" t="str">
        <f t="shared" si="5"/>
        <v>0x00,</v>
      </c>
      <c r="AF56" s="1" t="str">
        <f t="shared" si="5"/>
        <v>0x00,</v>
      </c>
      <c r="AG56" s="1" t="str">
        <f t="shared" si="5"/>
        <v>0x00,</v>
      </c>
      <c r="AH56" s="1" t="str">
        <f t="shared" si="5"/>
        <v>0x00,</v>
      </c>
      <c r="AI56" s="1" t="str">
        <f t="shared" si="5"/>
        <v>0x00,</v>
      </c>
      <c r="AJ56" s="1" t="str">
        <f t="shared" si="5"/>
        <v>0x00,</v>
      </c>
      <c r="AK56" s="1" t="str">
        <f t="shared" si="5"/>
        <v>0x00,</v>
      </c>
      <c r="AL56" s="1" t="str">
        <f t="shared" si="5"/>
        <v>0x00,</v>
      </c>
      <c r="AM56" s="1" t="str">
        <f t="shared" si="5"/>
        <v>0x37,</v>
      </c>
      <c r="AN56" s="1" t="str">
        <f t="shared" si="5"/>
        <v>0x3a,</v>
      </c>
      <c r="AO56" s="1" t="str">
        <f t="shared" si="5"/>
        <v>0x3d,</v>
      </c>
      <c r="AP56" s="1" t="str">
        <f t="shared" si="5"/>
        <v>0x20,</v>
      </c>
      <c r="AQ56" t="s">
        <v>10</v>
      </c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</row>
    <row r="57" spans="2:82" ht="15.75" customHeight="1" thickBot="1" x14ac:dyDescent="0.25">
      <c r="B57" t="s">
        <v>11</v>
      </c>
      <c r="C57" s="1" t="str">
        <f t="shared" ref="C57:AP57" si="6">IF(LEFT(C11,1)="X","0x00,",IF((0=C11),"0x00,","0x"&amp;C11&amp;","))</f>
        <v>0x20,</v>
      </c>
      <c r="D57" s="1" t="str">
        <f t="shared" si="6"/>
        <v>0x00,</v>
      </c>
      <c r="E57" s="1" t="str">
        <f t="shared" si="6"/>
        <v>0x00,</v>
      </c>
      <c r="F57" s="1" t="str">
        <f t="shared" si="6"/>
        <v>0x00,</v>
      </c>
      <c r="G57" s="1" t="str">
        <f t="shared" si="6"/>
        <v>0x00,</v>
      </c>
      <c r="H57" s="1" t="str">
        <f t="shared" si="6"/>
        <v>0x00,</v>
      </c>
      <c r="I57" s="1" t="str">
        <f t="shared" si="6"/>
        <v>0x00,</v>
      </c>
      <c r="J57" s="1" t="str">
        <f t="shared" si="6"/>
        <v>0x00,</v>
      </c>
      <c r="K57" s="1" t="str">
        <f t="shared" si="6"/>
        <v>0x00,</v>
      </c>
      <c r="L57" s="1" t="str">
        <f t="shared" si="6"/>
        <v>0x00,</v>
      </c>
      <c r="M57" s="1" t="str">
        <f t="shared" si="6"/>
        <v>0x00,</v>
      </c>
      <c r="N57" s="1" t="str">
        <f t="shared" si="6"/>
        <v>0x00,</v>
      </c>
      <c r="O57" s="1" t="str">
        <f t="shared" si="6"/>
        <v>0x00,</v>
      </c>
      <c r="P57" s="1" t="str">
        <f t="shared" si="6"/>
        <v>0x00,</v>
      </c>
      <c r="Q57" s="1" t="str">
        <f t="shared" si="6"/>
        <v>0x00,</v>
      </c>
      <c r="R57" s="1" t="str">
        <f t="shared" si="6"/>
        <v>0x00,</v>
      </c>
      <c r="S57" s="1" t="str">
        <f t="shared" si="6"/>
        <v>0x00,</v>
      </c>
      <c r="T57" s="1" t="str">
        <f t="shared" si="6"/>
        <v>0x00,</v>
      </c>
      <c r="U57" s="1" t="str">
        <f t="shared" si="6"/>
        <v>0x00,</v>
      </c>
      <c r="V57" s="1" t="str">
        <f t="shared" si="6"/>
        <v>0x00,</v>
      </c>
      <c r="W57" s="1" t="str">
        <f t="shared" si="6"/>
        <v>0x00,</v>
      </c>
      <c r="X57" s="1" t="str">
        <f t="shared" si="6"/>
        <v>0x00,</v>
      </c>
      <c r="Y57" s="1" t="str">
        <f t="shared" si="6"/>
        <v>0x00,</v>
      </c>
      <c r="Z57" s="1" t="str">
        <f t="shared" si="6"/>
        <v>0x00,</v>
      </c>
      <c r="AA57" s="1" t="str">
        <f t="shared" si="6"/>
        <v>0x00,</v>
      </c>
      <c r="AB57" s="1" t="str">
        <f t="shared" si="6"/>
        <v>0x00,</v>
      </c>
      <c r="AC57" s="1" t="str">
        <f t="shared" si="6"/>
        <v>0x00,</v>
      </c>
      <c r="AD57" s="1" t="str">
        <f t="shared" si="6"/>
        <v>0x00,</v>
      </c>
      <c r="AE57" s="1" t="str">
        <f t="shared" si="6"/>
        <v>0x00,</v>
      </c>
      <c r="AF57" s="1" t="str">
        <f t="shared" si="6"/>
        <v>0x00,</v>
      </c>
      <c r="AG57" s="1" t="str">
        <f t="shared" si="6"/>
        <v>0x00,</v>
      </c>
      <c r="AH57" s="1" t="str">
        <f t="shared" si="6"/>
        <v>0x00,</v>
      </c>
      <c r="AI57" s="1" t="str">
        <f t="shared" si="6"/>
        <v>0x00,</v>
      </c>
      <c r="AJ57" s="1" t="str">
        <f t="shared" si="6"/>
        <v>0x00,</v>
      </c>
      <c r="AK57" s="1" t="str">
        <f t="shared" si="6"/>
        <v>0x00,</v>
      </c>
      <c r="AL57" s="1" t="str">
        <f t="shared" si="6"/>
        <v>0x00,</v>
      </c>
      <c r="AM57" s="1" t="str">
        <f t="shared" si="6"/>
        <v>0x38,</v>
      </c>
      <c r="AN57" s="1" t="str">
        <f t="shared" si="6"/>
        <v>0x00,</v>
      </c>
      <c r="AO57" s="1" t="str">
        <f t="shared" si="6"/>
        <v>0x3e,</v>
      </c>
      <c r="AP57" s="1" t="str">
        <f t="shared" si="6"/>
        <v>0x20,</v>
      </c>
      <c r="AQ57" t="s">
        <v>10</v>
      </c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</row>
    <row r="58" spans="2:82" ht="15.75" customHeight="1" thickBot="1" x14ac:dyDescent="0.25">
      <c r="B58" t="s">
        <v>11</v>
      </c>
      <c r="C58" s="1" t="str">
        <f t="shared" ref="C58:AP58" si="7">IF(LEFT(C12,1)="X","0x00,",IF((0=C12),"0x00,","0x"&amp;C12&amp;","))</f>
        <v>0x20,</v>
      </c>
      <c r="D58" s="1" t="str">
        <f t="shared" si="7"/>
        <v>0x00,</v>
      </c>
      <c r="E58" s="1" t="str">
        <f t="shared" si="7"/>
        <v>0x00,</v>
      </c>
      <c r="F58" s="1" t="str">
        <f t="shared" si="7"/>
        <v>0x00,</v>
      </c>
      <c r="G58" s="1" t="str">
        <f t="shared" si="7"/>
        <v>0x00,</v>
      </c>
      <c r="H58" s="1" t="str">
        <f t="shared" si="7"/>
        <v>0x00,</v>
      </c>
      <c r="I58" s="1" t="str">
        <f t="shared" si="7"/>
        <v>0x00,</v>
      </c>
      <c r="J58" s="1" t="str">
        <f t="shared" si="7"/>
        <v>0x00,</v>
      </c>
      <c r="K58" s="1" t="str">
        <f t="shared" si="7"/>
        <v>0x00,</v>
      </c>
      <c r="L58" s="1" t="str">
        <f t="shared" si="7"/>
        <v>0x00,</v>
      </c>
      <c r="M58" s="1" t="str">
        <f t="shared" si="7"/>
        <v>0x00,</v>
      </c>
      <c r="N58" s="1" t="str">
        <f t="shared" si="7"/>
        <v>0x00,</v>
      </c>
      <c r="O58" s="1" t="str">
        <f t="shared" si="7"/>
        <v>0x00,</v>
      </c>
      <c r="P58" s="1" t="str">
        <f t="shared" si="7"/>
        <v>0x00,</v>
      </c>
      <c r="Q58" s="1" t="str">
        <f t="shared" si="7"/>
        <v>0x00,</v>
      </c>
      <c r="R58" s="1" t="str">
        <f t="shared" si="7"/>
        <v>0x00,</v>
      </c>
      <c r="S58" s="1" t="str">
        <f t="shared" si="7"/>
        <v>0x00,</v>
      </c>
      <c r="T58" s="1" t="str">
        <f t="shared" si="7"/>
        <v>0x00,</v>
      </c>
      <c r="U58" s="1" t="str">
        <f t="shared" si="7"/>
        <v>0x00,</v>
      </c>
      <c r="V58" s="1" t="str">
        <f t="shared" si="7"/>
        <v>0x00,</v>
      </c>
      <c r="W58" s="1" t="str">
        <f t="shared" si="7"/>
        <v>0x00,</v>
      </c>
      <c r="X58" s="1" t="str">
        <f t="shared" si="7"/>
        <v>0x00,</v>
      </c>
      <c r="Y58" s="1" t="str">
        <f t="shared" si="7"/>
        <v>0x00,</v>
      </c>
      <c r="Z58" s="1" t="str">
        <f t="shared" si="7"/>
        <v>0x00,</v>
      </c>
      <c r="AA58" s="1" t="str">
        <f t="shared" si="7"/>
        <v>0x00,</v>
      </c>
      <c r="AB58" s="1" t="str">
        <f t="shared" si="7"/>
        <v>0x00,</v>
      </c>
      <c r="AC58" s="1" t="str">
        <f t="shared" si="7"/>
        <v>0x00,</v>
      </c>
      <c r="AD58" s="1" t="str">
        <f t="shared" si="7"/>
        <v>0x00,</v>
      </c>
      <c r="AE58" s="1" t="str">
        <f t="shared" si="7"/>
        <v>0x00,</v>
      </c>
      <c r="AF58" s="1" t="str">
        <f t="shared" si="7"/>
        <v>0x00,</v>
      </c>
      <c r="AG58" s="1" t="str">
        <f t="shared" si="7"/>
        <v>0x00,</v>
      </c>
      <c r="AH58" s="1" t="str">
        <f t="shared" si="7"/>
        <v>0x00,</v>
      </c>
      <c r="AI58" s="1" t="str">
        <f t="shared" si="7"/>
        <v>0x00,</v>
      </c>
      <c r="AJ58" s="1" t="str">
        <f t="shared" si="7"/>
        <v>0x00,</v>
      </c>
      <c r="AK58" s="1" t="str">
        <f t="shared" si="7"/>
        <v>0x00,</v>
      </c>
      <c r="AL58" s="1" t="str">
        <f t="shared" si="7"/>
        <v>0x00,</v>
      </c>
      <c r="AM58" s="1" t="str">
        <f t="shared" si="7"/>
        <v>0x39,</v>
      </c>
      <c r="AN58" s="1" t="str">
        <f t="shared" si="7"/>
        <v>0x00,</v>
      </c>
      <c r="AO58" s="1" t="str">
        <f t="shared" si="7"/>
        <v>0x3f,</v>
      </c>
      <c r="AP58" s="1" t="str">
        <f t="shared" si="7"/>
        <v>0x20,</v>
      </c>
      <c r="AQ58" t="s">
        <v>10</v>
      </c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</row>
    <row r="59" spans="2:82" ht="15.75" customHeight="1" thickBot="1" x14ac:dyDescent="0.25">
      <c r="B59" t="s">
        <v>11</v>
      </c>
      <c r="C59" s="1" t="str">
        <f t="shared" ref="C59:AP59" si="8">IF(LEFT(C13,1)="X","0x00,",IF((0=C13),"0x00,","0x"&amp;C13&amp;","))</f>
        <v>0x20,</v>
      </c>
      <c r="D59" s="1" t="str">
        <f t="shared" si="8"/>
        <v>0x00,</v>
      </c>
      <c r="E59" s="1" t="str">
        <f t="shared" si="8"/>
        <v>0x00,</v>
      </c>
      <c r="F59" s="1" t="str">
        <f t="shared" si="8"/>
        <v>0x00,</v>
      </c>
      <c r="G59" s="1" t="str">
        <f t="shared" si="8"/>
        <v>0x00,</v>
      </c>
      <c r="H59" s="1" t="str">
        <f t="shared" si="8"/>
        <v>0x00,</v>
      </c>
      <c r="I59" s="1" t="str">
        <f t="shared" si="8"/>
        <v>0x00,</v>
      </c>
      <c r="J59" s="1" t="str">
        <f t="shared" si="8"/>
        <v>0x00,</v>
      </c>
      <c r="K59" s="1" t="str">
        <f t="shared" si="8"/>
        <v>0x00,</v>
      </c>
      <c r="L59" s="1" t="str">
        <f t="shared" si="8"/>
        <v>0x00,</v>
      </c>
      <c r="M59" s="1" t="str">
        <f t="shared" si="8"/>
        <v>0x00,</v>
      </c>
      <c r="N59" s="1" t="str">
        <f t="shared" si="8"/>
        <v>0x00,</v>
      </c>
      <c r="O59" s="1" t="str">
        <f t="shared" si="8"/>
        <v>0x00,</v>
      </c>
      <c r="P59" s="1" t="str">
        <f t="shared" si="8"/>
        <v>0x00,</v>
      </c>
      <c r="Q59" s="1" t="str">
        <f t="shared" si="8"/>
        <v>0x00,</v>
      </c>
      <c r="R59" s="1" t="str">
        <f t="shared" si="8"/>
        <v>0x00,</v>
      </c>
      <c r="S59" s="1" t="str">
        <f t="shared" si="8"/>
        <v>0x00,</v>
      </c>
      <c r="T59" s="1" t="str">
        <f t="shared" si="8"/>
        <v>0x00,</v>
      </c>
      <c r="U59" s="1" t="str">
        <f t="shared" si="8"/>
        <v>0x00,</v>
      </c>
      <c r="V59" s="1" t="str">
        <f t="shared" si="8"/>
        <v>0x00,</v>
      </c>
      <c r="W59" s="1" t="str">
        <f t="shared" si="8"/>
        <v>0x00,</v>
      </c>
      <c r="X59" s="1" t="str">
        <f t="shared" si="8"/>
        <v>0x00,</v>
      </c>
      <c r="Y59" s="1" t="str">
        <f t="shared" si="8"/>
        <v>0x00,</v>
      </c>
      <c r="Z59" s="1" t="str">
        <f t="shared" si="8"/>
        <v>0x00,</v>
      </c>
      <c r="AA59" s="1" t="str">
        <f t="shared" si="8"/>
        <v>0x00,</v>
      </c>
      <c r="AB59" s="1" t="str">
        <f t="shared" si="8"/>
        <v>0x00,</v>
      </c>
      <c r="AC59" s="1" t="str">
        <f t="shared" si="8"/>
        <v>0x00,</v>
      </c>
      <c r="AD59" s="1" t="str">
        <f t="shared" si="8"/>
        <v>0x00,</v>
      </c>
      <c r="AE59" s="1" t="str">
        <f t="shared" si="8"/>
        <v>0x00,</v>
      </c>
      <c r="AF59" s="1" t="str">
        <f t="shared" si="8"/>
        <v>0x00,</v>
      </c>
      <c r="AG59" s="1" t="str">
        <f t="shared" si="8"/>
        <v>0x00,</v>
      </c>
      <c r="AH59" s="1" t="str">
        <f t="shared" si="8"/>
        <v>0x00,</v>
      </c>
      <c r="AI59" s="1" t="str">
        <f t="shared" si="8"/>
        <v>0x00,</v>
      </c>
      <c r="AJ59" s="1" t="str">
        <f t="shared" si="8"/>
        <v>0x00,</v>
      </c>
      <c r="AK59" s="1" t="str">
        <f t="shared" si="8"/>
        <v>0x00,</v>
      </c>
      <c r="AL59" s="1" t="str">
        <f t="shared" si="8"/>
        <v>0x20,</v>
      </c>
      <c r="AM59" s="1" t="str">
        <f t="shared" si="8"/>
        <v>0x20,</v>
      </c>
      <c r="AN59" s="1" t="str">
        <f t="shared" si="8"/>
        <v>0x20,</v>
      </c>
      <c r="AO59" s="1" t="str">
        <f t="shared" si="8"/>
        <v>0x20,</v>
      </c>
      <c r="AP59" s="1" t="str">
        <f t="shared" si="8"/>
        <v>0x20,</v>
      </c>
      <c r="AQ59" t="s">
        <v>10</v>
      </c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</row>
    <row r="60" spans="2:82" ht="15.75" customHeight="1" thickBot="1" x14ac:dyDescent="0.25">
      <c r="B60" t="s">
        <v>11</v>
      </c>
      <c r="C60" s="1" t="str">
        <f t="shared" ref="C60:AP60" si="9">IF(LEFT(C14,1)="X","0x00,",IF((0=C14),"0x00,","0x"&amp;C14&amp;","))</f>
        <v>0x20,</v>
      </c>
      <c r="D60" s="1" t="str">
        <f t="shared" si="9"/>
        <v>0x00,</v>
      </c>
      <c r="E60" s="1" t="str">
        <f t="shared" si="9"/>
        <v>0x00,</v>
      </c>
      <c r="F60" s="1" t="str">
        <f t="shared" si="9"/>
        <v>0x00,</v>
      </c>
      <c r="G60" s="1" t="str">
        <f t="shared" si="9"/>
        <v>0x00,</v>
      </c>
      <c r="H60" s="1" t="str">
        <f t="shared" si="9"/>
        <v>0x00,</v>
      </c>
      <c r="I60" s="1" t="str">
        <f t="shared" si="9"/>
        <v>0x00,</v>
      </c>
      <c r="J60" s="1" t="str">
        <f t="shared" si="9"/>
        <v>0x00,</v>
      </c>
      <c r="K60" s="1" t="str">
        <f t="shared" si="9"/>
        <v>0x00,</v>
      </c>
      <c r="L60" s="1" t="str">
        <f t="shared" si="9"/>
        <v>0x00,</v>
      </c>
      <c r="M60" s="1" t="str">
        <f t="shared" si="9"/>
        <v>0x00,</v>
      </c>
      <c r="N60" s="1" t="str">
        <f t="shared" si="9"/>
        <v>0x00,</v>
      </c>
      <c r="O60" s="1" t="str">
        <f t="shared" si="9"/>
        <v>0x00,</v>
      </c>
      <c r="P60" s="1" t="str">
        <f t="shared" si="9"/>
        <v>0x00,</v>
      </c>
      <c r="Q60" s="1" t="str">
        <f t="shared" si="9"/>
        <v>0x00,</v>
      </c>
      <c r="R60" s="1" t="str">
        <f t="shared" si="9"/>
        <v>0x00,</v>
      </c>
      <c r="S60" s="1" t="str">
        <f t="shared" si="9"/>
        <v>0x00,</v>
      </c>
      <c r="T60" s="1" t="str">
        <f t="shared" si="9"/>
        <v>0x00,</v>
      </c>
      <c r="U60" s="1" t="str">
        <f t="shared" si="9"/>
        <v>0x00,</v>
      </c>
      <c r="V60" s="1" t="str">
        <f t="shared" si="9"/>
        <v>0x00,</v>
      </c>
      <c r="W60" s="1" t="str">
        <f t="shared" si="9"/>
        <v>0x00,</v>
      </c>
      <c r="X60" s="1" t="str">
        <f t="shared" si="9"/>
        <v>0x00,</v>
      </c>
      <c r="Y60" s="1" t="str">
        <f t="shared" si="9"/>
        <v>0x00,</v>
      </c>
      <c r="Z60" s="1" t="str">
        <f t="shared" si="9"/>
        <v>0x00,</v>
      </c>
      <c r="AA60" s="1" t="str">
        <f t="shared" si="9"/>
        <v>0x40,</v>
      </c>
      <c r="AB60" s="1" t="str">
        <f t="shared" si="9"/>
        <v>0x00,</v>
      </c>
      <c r="AC60" s="1" t="str">
        <f t="shared" si="9"/>
        <v>0x00,</v>
      </c>
      <c r="AD60" s="1" t="str">
        <f t="shared" si="9"/>
        <v>0x00,</v>
      </c>
      <c r="AE60" s="1" t="str">
        <f t="shared" si="9"/>
        <v>0x20,</v>
      </c>
      <c r="AF60" s="1" t="str">
        <f t="shared" si="9"/>
        <v>0x20,</v>
      </c>
      <c r="AG60" s="1" t="str">
        <f t="shared" si="9"/>
        <v>0x20,</v>
      </c>
      <c r="AH60" s="1" t="str">
        <f t="shared" si="9"/>
        <v>0x00,</v>
      </c>
      <c r="AI60" s="1" t="str">
        <f t="shared" si="9"/>
        <v>0x20,</v>
      </c>
      <c r="AJ60" s="1" t="str">
        <f t="shared" si="9"/>
        <v>0x20,</v>
      </c>
      <c r="AK60" s="1" t="str">
        <f t="shared" si="9"/>
        <v>0x00,</v>
      </c>
      <c r="AL60" s="1" t="str">
        <f t="shared" si="9"/>
        <v>0x00,</v>
      </c>
      <c r="AM60" s="1" t="str">
        <f t="shared" si="9"/>
        <v>0x00,</v>
      </c>
      <c r="AN60" s="1" t="str">
        <f t="shared" si="9"/>
        <v>0x00,</v>
      </c>
      <c r="AO60" s="1" t="str">
        <f t="shared" si="9"/>
        <v>0x00,</v>
      </c>
      <c r="AP60" s="1" t="str">
        <f t="shared" si="9"/>
        <v>0x20,</v>
      </c>
      <c r="AQ60" t="s">
        <v>10</v>
      </c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</row>
    <row r="61" spans="2:82" ht="15.75" customHeight="1" thickBot="1" x14ac:dyDescent="0.25">
      <c r="B61" t="s">
        <v>11</v>
      </c>
      <c r="C61" s="1" t="str">
        <f t="shared" ref="C61:AP61" si="10">IF(LEFT(C15,1)="X","0x00,",IF((0=C15),"0x00,","0x"&amp;C15&amp;","))</f>
        <v>0x20,</v>
      </c>
      <c r="D61" s="1" t="str">
        <f t="shared" si="10"/>
        <v>0x00,</v>
      </c>
      <c r="E61" s="1" t="str">
        <f t="shared" si="10"/>
        <v>0x00,</v>
      </c>
      <c r="F61" s="1" t="str">
        <f t="shared" si="10"/>
        <v>0x00,</v>
      </c>
      <c r="G61" s="1" t="str">
        <f t="shared" si="10"/>
        <v>0x00,</v>
      </c>
      <c r="H61" s="1" t="str">
        <f t="shared" si="10"/>
        <v>0x00,</v>
      </c>
      <c r="I61" s="1" t="str">
        <f t="shared" si="10"/>
        <v>0x00,</v>
      </c>
      <c r="J61" s="1" t="str">
        <f t="shared" si="10"/>
        <v>0x00,</v>
      </c>
      <c r="K61" s="1" t="str">
        <f t="shared" si="10"/>
        <v>0x00,</v>
      </c>
      <c r="L61" s="1" t="str">
        <f t="shared" si="10"/>
        <v>0x00,</v>
      </c>
      <c r="M61" s="1" t="str">
        <f t="shared" si="10"/>
        <v>0x00,</v>
      </c>
      <c r="N61" s="1" t="str">
        <f t="shared" si="10"/>
        <v>0x00,</v>
      </c>
      <c r="O61" s="1" t="str">
        <f t="shared" si="10"/>
        <v>0x00,</v>
      </c>
      <c r="P61" s="1" t="str">
        <f t="shared" si="10"/>
        <v>0x00,</v>
      </c>
      <c r="Q61" s="1" t="str">
        <f t="shared" si="10"/>
        <v>0x00,</v>
      </c>
      <c r="R61" s="1" t="str">
        <f t="shared" si="10"/>
        <v>0x00,</v>
      </c>
      <c r="S61" s="1" t="str">
        <f t="shared" si="10"/>
        <v>0x00,</v>
      </c>
      <c r="T61" s="1" t="str">
        <f t="shared" si="10"/>
        <v>0x00,</v>
      </c>
      <c r="U61" s="1" t="str">
        <f t="shared" si="10"/>
        <v>0x00,</v>
      </c>
      <c r="V61" s="1" t="str">
        <f t="shared" si="10"/>
        <v>0x00,</v>
      </c>
      <c r="W61" s="1" t="str">
        <f t="shared" si="10"/>
        <v>0x00,</v>
      </c>
      <c r="X61" s="1" t="str">
        <f t="shared" si="10"/>
        <v>0x00,</v>
      </c>
      <c r="Y61" s="1" t="str">
        <f t="shared" si="10"/>
        <v>0x00,</v>
      </c>
      <c r="Z61" s="1" t="str">
        <f t="shared" si="10"/>
        <v>0x00,</v>
      </c>
      <c r="AA61" s="1" t="str">
        <f t="shared" si="10"/>
        <v>0x40,</v>
      </c>
      <c r="AB61" s="1" t="str">
        <f t="shared" si="10"/>
        <v>0x20,</v>
      </c>
      <c r="AC61" s="1" t="str">
        <f t="shared" si="10"/>
        <v>0x20,</v>
      </c>
      <c r="AD61" s="1" t="str">
        <f t="shared" si="10"/>
        <v>0x00,</v>
      </c>
      <c r="AE61" s="1" t="str">
        <f t="shared" si="10"/>
        <v>0x00,</v>
      </c>
      <c r="AF61" s="1" t="str">
        <f t="shared" si="10"/>
        <v>0x00,</v>
      </c>
      <c r="AG61" s="1" t="str">
        <f t="shared" si="10"/>
        <v>0x00,</v>
      </c>
      <c r="AH61" s="1" t="str">
        <f t="shared" si="10"/>
        <v>0x00,</v>
      </c>
      <c r="AI61" s="1" t="str">
        <f t="shared" si="10"/>
        <v>0x00,</v>
      </c>
      <c r="AJ61" s="1" t="str">
        <f t="shared" si="10"/>
        <v>0x00,</v>
      </c>
      <c r="AK61" s="1" t="str">
        <f t="shared" si="10"/>
        <v>0x00,</v>
      </c>
      <c r="AL61" s="1" t="str">
        <f t="shared" si="10"/>
        <v>0x00,</v>
      </c>
      <c r="AM61" s="1" t="str">
        <f t="shared" si="10"/>
        <v>0x00,</v>
      </c>
      <c r="AN61" s="1" t="str">
        <f t="shared" si="10"/>
        <v>0x00,</v>
      </c>
      <c r="AO61" s="1" t="str">
        <f t="shared" si="10"/>
        <v>0x00,</v>
      </c>
      <c r="AP61" s="1" t="str">
        <f t="shared" si="10"/>
        <v>0x20,</v>
      </c>
      <c r="AQ61" t="s">
        <v>10</v>
      </c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</row>
    <row r="62" spans="2:82" ht="15.75" customHeight="1" thickBot="1" x14ac:dyDescent="0.25">
      <c r="B62" t="s">
        <v>11</v>
      </c>
      <c r="C62" s="1" t="str">
        <f t="shared" ref="C62:AP62" si="11">IF(LEFT(C16,1)="X","0x00,",IF((0=C16),"0x00,","0x"&amp;C16&amp;","))</f>
        <v>0x20,</v>
      </c>
      <c r="D62" s="1" t="str">
        <f t="shared" si="11"/>
        <v>0x00,</v>
      </c>
      <c r="E62" s="1" t="str">
        <f t="shared" si="11"/>
        <v>0x00,</v>
      </c>
      <c r="F62" s="1" t="str">
        <f t="shared" si="11"/>
        <v>0x00,</v>
      </c>
      <c r="G62" s="1" t="str">
        <f t="shared" si="11"/>
        <v>0x00,</v>
      </c>
      <c r="H62" s="1" t="str">
        <f t="shared" si="11"/>
        <v>0x00,</v>
      </c>
      <c r="I62" s="1" t="str">
        <f t="shared" si="11"/>
        <v>0x00,</v>
      </c>
      <c r="J62" s="1" t="str">
        <f t="shared" si="11"/>
        <v>0x00,</v>
      </c>
      <c r="K62" s="1" t="str">
        <f t="shared" si="11"/>
        <v>0x00,</v>
      </c>
      <c r="L62" s="1" t="str">
        <f t="shared" si="11"/>
        <v>0x00,</v>
      </c>
      <c r="M62" s="1" t="str">
        <f t="shared" si="11"/>
        <v>0x00,</v>
      </c>
      <c r="N62" s="1" t="str">
        <f t="shared" si="11"/>
        <v>0x20,</v>
      </c>
      <c r="O62" s="1" t="str">
        <f t="shared" si="11"/>
        <v>0x20,</v>
      </c>
      <c r="P62" s="1" t="str">
        <f t="shared" si="11"/>
        <v>0x20,</v>
      </c>
      <c r="Q62" s="1" t="str">
        <f t="shared" si="11"/>
        <v>0x00,</v>
      </c>
      <c r="R62" s="1" t="str">
        <f t="shared" si="11"/>
        <v>0x00,</v>
      </c>
      <c r="S62" s="1" t="str">
        <f t="shared" si="11"/>
        <v>0x00,</v>
      </c>
      <c r="T62" s="1" t="str">
        <f t="shared" si="11"/>
        <v>0x00,</v>
      </c>
      <c r="U62" s="1" t="str">
        <f t="shared" si="11"/>
        <v>0x00,</v>
      </c>
      <c r="V62" s="1" t="str">
        <f t="shared" si="11"/>
        <v>0x00,</v>
      </c>
      <c r="W62" s="1" t="str">
        <f t="shared" si="11"/>
        <v>0x00,</v>
      </c>
      <c r="X62" s="1" t="str">
        <f t="shared" si="11"/>
        <v>0x00,</v>
      </c>
      <c r="Y62" s="1" t="str">
        <f t="shared" si="11"/>
        <v>0x00,</v>
      </c>
      <c r="Z62" s="1" t="str">
        <f t="shared" si="11"/>
        <v>0x00,</v>
      </c>
      <c r="AA62" s="1" t="str">
        <f t="shared" si="11"/>
        <v>0x40,</v>
      </c>
      <c r="AB62" s="1" t="str">
        <f t="shared" si="11"/>
        <v>0x00,</v>
      </c>
      <c r="AC62" s="1" t="str">
        <f t="shared" si="11"/>
        <v>0x3,</v>
      </c>
      <c r="AD62" s="1" t="str">
        <f t="shared" si="11"/>
        <v>0x00,</v>
      </c>
      <c r="AE62" s="1" t="str">
        <f t="shared" si="11"/>
        <v>0x00,</v>
      </c>
      <c r="AF62" s="1" t="str">
        <f t="shared" si="11"/>
        <v>0x00,</v>
      </c>
      <c r="AG62" s="1" t="str">
        <f t="shared" si="11"/>
        <v>0x00,</v>
      </c>
      <c r="AH62" s="1" t="str">
        <f t="shared" si="11"/>
        <v>0x00,</v>
      </c>
      <c r="AI62" s="1" t="str">
        <f t="shared" si="11"/>
        <v>0x00,</v>
      </c>
      <c r="AJ62" s="1" t="str">
        <f t="shared" si="11"/>
        <v>0x00,</v>
      </c>
      <c r="AK62" s="1" t="str">
        <f t="shared" si="11"/>
        <v>0x00,</v>
      </c>
      <c r="AL62" s="1" t="str">
        <f t="shared" si="11"/>
        <v>0x00,</v>
      </c>
      <c r="AM62" s="1" t="str">
        <f t="shared" si="11"/>
        <v>0x00,</v>
      </c>
      <c r="AN62" s="1" t="str">
        <f t="shared" si="11"/>
        <v>0x00,</v>
      </c>
      <c r="AO62" s="1" t="str">
        <f t="shared" si="11"/>
        <v>0x00,</v>
      </c>
      <c r="AP62" s="1" t="str">
        <f t="shared" si="11"/>
        <v>0x20,</v>
      </c>
      <c r="AQ62" t="s">
        <v>10</v>
      </c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</row>
    <row r="63" spans="2:82" ht="15.75" customHeight="1" thickBot="1" x14ac:dyDescent="0.25">
      <c r="B63" t="s">
        <v>11</v>
      </c>
      <c r="C63" s="1" t="str">
        <f t="shared" ref="C63:AP63" si="12">IF(LEFT(C17,1)="X","0x00,",IF((0=C17),"0x00,","0x"&amp;C17&amp;","))</f>
        <v>0x20,</v>
      </c>
      <c r="D63" s="1" t="str">
        <f t="shared" si="12"/>
        <v>0x00,</v>
      </c>
      <c r="E63" s="1" t="str">
        <f t="shared" si="12"/>
        <v>0x00,</v>
      </c>
      <c r="F63" s="1" t="str">
        <f t="shared" si="12"/>
        <v>0x00,</v>
      </c>
      <c r="G63" s="1" t="str">
        <f t="shared" si="12"/>
        <v>0x2e,</v>
      </c>
      <c r="H63" s="1" t="str">
        <f t="shared" si="12"/>
        <v>0x31,</v>
      </c>
      <c r="I63" s="1" t="str">
        <f t="shared" si="12"/>
        <v>0x34,</v>
      </c>
      <c r="J63" s="1" t="str">
        <f t="shared" si="12"/>
        <v>0x00,</v>
      </c>
      <c r="K63" s="1" t="str">
        <f t="shared" si="12"/>
        <v>0x00,</v>
      </c>
      <c r="L63" s="1" t="str">
        <f t="shared" si="12"/>
        <v>0x00,</v>
      </c>
      <c r="M63" s="1" t="str">
        <f t="shared" si="12"/>
        <v>0x20,</v>
      </c>
      <c r="N63" s="1" t="str">
        <f t="shared" si="12"/>
        <v>0x21,</v>
      </c>
      <c r="O63" s="1" t="str">
        <f t="shared" si="12"/>
        <v>0x00,</v>
      </c>
      <c r="P63" s="1" t="str">
        <f t="shared" si="12"/>
        <v>0x00,</v>
      </c>
      <c r="Q63" s="1" t="str">
        <f t="shared" si="12"/>
        <v>0x00,</v>
      </c>
      <c r="R63" s="1" t="str">
        <f t="shared" si="12"/>
        <v>0x00,</v>
      </c>
      <c r="S63" s="1" t="str">
        <f t="shared" si="12"/>
        <v>0x00,</v>
      </c>
      <c r="T63" s="1" t="str">
        <f t="shared" si="12"/>
        <v>0x00,</v>
      </c>
      <c r="U63" s="1" t="str">
        <f t="shared" si="12"/>
        <v>0x00,</v>
      </c>
      <c r="V63" s="1" t="str">
        <f t="shared" si="12"/>
        <v>0x00,</v>
      </c>
      <c r="W63" s="1" t="str">
        <f t="shared" si="12"/>
        <v>0x00,</v>
      </c>
      <c r="X63" s="1" t="str">
        <f t="shared" si="12"/>
        <v>0x00,</v>
      </c>
      <c r="Y63" s="1" t="str">
        <f t="shared" si="12"/>
        <v>0x00,</v>
      </c>
      <c r="Z63" s="1" t="str">
        <f t="shared" si="12"/>
        <v>0x00,</v>
      </c>
      <c r="AA63" s="1" t="str">
        <f t="shared" si="12"/>
        <v>0x40,</v>
      </c>
      <c r="AB63" s="1" t="str">
        <f t="shared" si="12"/>
        <v>0x00,</v>
      </c>
      <c r="AC63" s="1" t="str">
        <f t="shared" si="12"/>
        <v>0x00,</v>
      </c>
      <c r="AD63" s="1" t="str">
        <f t="shared" si="12"/>
        <v>0x00,</v>
      </c>
      <c r="AE63" s="1" t="str">
        <f t="shared" si="12"/>
        <v>0x00,</v>
      </c>
      <c r="AF63" s="1" t="str">
        <f t="shared" si="12"/>
        <v>0x00,</v>
      </c>
      <c r="AG63" s="1" t="str">
        <f t="shared" si="12"/>
        <v>0x00,</v>
      </c>
      <c r="AH63" s="1" t="str">
        <f t="shared" si="12"/>
        <v>0x00,</v>
      </c>
      <c r="AI63" s="1" t="str">
        <f t="shared" si="12"/>
        <v>0x00,</v>
      </c>
      <c r="AJ63" s="1" t="str">
        <f t="shared" si="12"/>
        <v>0x00,</v>
      </c>
      <c r="AK63" s="1" t="str">
        <f t="shared" si="12"/>
        <v>0x00,</v>
      </c>
      <c r="AL63" s="1" t="str">
        <f t="shared" si="12"/>
        <v>0x00,</v>
      </c>
      <c r="AM63" s="1" t="str">
        <f t="shared" si="12"/>
        <v>0x00,</v>
      </c>
      <c r="AN63" s="1" t="str">
        <f t="shared" si="12"/>
        <v>0x00,</v>
      </c>
      <c r="AO63" s="1" t="str">
        <f t="shared" si="12"/>
        <v>0x00,</v>
      </c>
      <c r="AP63" s="1" t="str">
        <f t="shared" si="12"/>
        <v>0x20,</v>
      </c>
      <c r="AQ63" t="s">
        <v>10</v>
      </c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</row>
    <row r="64" spans="2:82" ht="15.75" customHeight="1" thickBot="1" x14ac:dyDescent="0.25">
      <c r="B64" t="s">
        <v>11</v>
      </c>
      <c r="C64" s="1" t="str">
        <f t="shared" ref="C64:AP64" si="13">IF(LEFT(C18,1)="X","0x00,",IF((0=C18),"0x00,","0x"&amp;C18&amp;","))</f>
        <v>0x20,</v>
      </c>
      <c r="D64" s="1" t="str">
        <f t="shared" si="13"/>
        <v>0x00,</v>
      </c>
      <c r="E64" s="1" t="str">
        <f t="shared" si="13"/>
        <v>0x1,</v>
      </c>
      <c r="F64" s="1" t="str">
        <f t="shared" si="13"/>
        <v>0x00,</v>
      </c>
      <c r="G64" s="1" t="str">
        <f t="shared" si="13"/>
        <v>0x2f,</v>
      </c>
      <c r="H64" s="1" t="str">
        <f t="shared" si="13"/>
        <v>0x32,</v>
      </c>
      <c r="I64" s="1" t="str">
        <f t="shared" si="13"/>
        <v>0x35,</v>
      </c>
      <c r="J64" s="1" t="str">
        <f t="shared" si="13"/>
        <v>0x00,</v>
      </c>
      <c r="K64" s="1" t="str">
        <f t="shared" si="13"/>
        <v>0x00,</v>
      </c>
      <c r="L64" s="1" t="str">
        <f t="shared" si="13"/>
        <v>0x20,</v>
      </c>
      <c r="M64" s="1" t="str">
        <f t="shared" si="13"/>
        <v>0x21,</v>
      </c>
      <c r="N64" s="1" t="str">
        <f t="shared" si="13"/>
        <v>0x00,</v>
      </c>
      <c r="O64" s="1" t="str">
        <f t="shared" si="13"/>
        <v>0x00,</v>
      </c>
      <c r="P64" s="1" t="str">
        <f t="shared" si="13"/>
        <v>0x00,</v>
      </c>
      <c r="Q64" s="1" t="str">
        <f t="shared" si="13"/>
        <v>0x00,</v>
      </c>
      <c r="R64" s="1" t="str">
        <f t="shared" si="13"/>
        <v>0x00,</v>
      </c>
      <c r="S64" s="1" t="str">
        <f t="shared" si="13"/>
        <v>0x00,</v>
      </c>
      <c r="T64" s="1" t="str">
        <f t="shared" si="13"/>
        <v>0x2,</v>
      </c>
      <c r="U64" s="1" t="str">
        <f t="shared" si="13"/>
        <v>0x00,</v>
      </c>
      <c r="V64" s="1" t="str">
        <f t="shared" si="13"/>
        <v>0x00,</v>
      </c>
      <c r="W64" s="1" t="str">
        <f t="shared" si="13"/>
        <v>0x4,</v>
      </c>
      <c r="X64" s="1" t="str">
        <f t="shared" si="13"/>
        <v>0x00,</v>
      </c>
      <c r="Y64" s="1" t="str">
        <f t="shared" si="13"/>
        <v>0x00,</v>
      </c>
      <c r="Z64" s="1" t="str">
        <f t="shared" si="13"/>
        <v>0x00,</v>
      </c>
      <c r="AA64" s="1" t="str">
        <f t="shared" si="13"/>
        <v>0x40,</v>
      </c>
      <c r="AB64" s="1" t="str">
        <f t="shared" si="13"/>
        <v>0x00,</v>
      </c>
      <c r="AC64" s="1" t="str">
        <f t="shared" si="13"/>
        <v>0x00,</v>
      </c>
      <c r="AD64" s="1" t="str">
        <f t="shared" si="13"/>
        <v>0x00,</v>
      </c>
      <c r="AE64" s="1" t="str">
        <f t="shared" si="13"/>
        <v>0x41,</v>
      </c>
      <c r="AF64" s="1" t="str">
        <f t="shared" si="13"/>
        <v>0x43,</v>
      </c>
      <c r="AG64" s="1" t="str">
        <f t="shared" si="13"/>
        <v>0x00,</v>
      </c>
      <c r="AH64" s="1" t="str">
        <f t="shared" si="13"/>
        <v>0x47,</v>
      </c>
      <c r="AI64" s="1" t="str">
        <f t="shared" si="13"/>
        <v>0x45,</v>
      </c>
      <c r="AJ64" s="1" t="str">
        <f t="shared" si="13"/>
        <v>0x00,</v>
      </c>
      <c r="AK64" s="1" t="str">
        <f t="shared" si="13"/>
        <v>0x00,</v>
      </c>
      <c r="AL64" s="1" t="str">
        <f t="shared" si="13"/>
        <v>0x00,</v>
      </c>
      <c r="AM64" s="1" t="str">
        <f t="shared" si="13"/>
        <v>0x00,</v>
      </c>
      <c r="AN64" s="1" t="str">
        <f t="shared" si="13"/>
        <v>0x00,</v>
      </c>
      <c r="AO64" s="1" t="str">
        <f t="shared" si="13"/>
        <v>0x00,</v>
      </c>
      <c r="AP64" s="1" t="str">
        <f t="shared" si="13"/>
        <v>0x20,</v>
      </c>
      <c r="AQ64" t="s">
        <v>10</v>
      </c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</row>
    <row r="65" spans="2:82" ht="15.75" customHeight="1" thickBot="1" x14ac:dyDescent="0.25">
      <c r="B65" t="s">
        <v>11</v>
      </c>
      <c r="C65" s="1" t="str">
        <f t="shared" ref="C65:AP65" si="14">IF(LEFT(C19,1)="X","0x00,",IF((0=C19),"0x00,","0x"&amp;C19&amp;","))</f>
        <v>0x20,</v>
      </c>
      <c r="D65" s="1" t="str">
        <f t="shared" si="14"/>
        <v>0x00,</v>
      </c>
      <c r="E65" s="1" t="str">
        <f t="shared" si="14"/>
        <v>0x00,</v>
      </c>
      <c r="F65" s="1" t="str">
        <f t="shared" si="14"/>
        <v>0x00,</v>
      </c>
      <c r="G65" s="1" t="str">
        <f t="shared" si="14"/>
        <v>0x30,</v>
      </c>
      <c r="H65" s="1" t="str">
        <f t="shared" si="14"/>
        <v>0x33,</v>
      </c>
      <c r="I65" s="1" t="str">
        <f t="shared" si="14"/>
        <v>0x36,</v>
      </c>
      <c r="J65" s="1" t="str">
        <f t="shared" si="14"/>
        <v>0x00,</v>
      </c>
      <c r="K65" s="1" t="str">
        <f t="shared" si="14"/>
        <v>0x20,</v>
      </c>
      <c r="L65" s="1" t="str">
        <f t="shared" si="14"/>
        <v>0x21,</v>
      </c>
      <c r="M65" s="1" t="str">
        <f t="shared" si="14"/>
        <v>0x00,</v>
      </c>
      <c r="N65" s="1" t="str">
        <f t="shared" si="14"/>
        <v>0x00,</v>
      </c>
      <c r="O65" s="1" t="str">
        <f t="shared" si="14"/>
        <v>0x00,</v>
      </c>
      <c r="P65" s="1" t="str">
        <f t="shared" si="14"/>
        <v>0x00,</v>
      </c>
      <c r="Q65" s="1" t="str">
        <f t="shared" si="14"/>
        <v>0x00,</v>
      </c>
      <c r="R65" s="1" t="str">
        <f t="shared" si="14"/>
        <v>0x00,</v>
      </c>
      <c r="S65" s="1" t="str">
        <f t="shared" si="14"/>
        <v>0x00,</v>
      </c>
      <c r="T65" s="1" t="str">
        <f t="shared" si="14"/>
        <v>0x00,</v>
      </c>
      <c r="U65" s="1" t="str">
        <f t="shared" si="14"/>
        <v>0x00,</v>
      </c>
      <c r="V65" s="1" t="str">
        <f t="shared" si="14"/>
        <v>0x00,</v>
      </c>
      <c r="W65" s="1" t="str">
        <f t="shared" si="14"/>
        <v>0x00,</v>
      </c>
      <c r="X65" s="1" t="str">
        <f t="shared" si="14"/>
        <v>0x00,</v>
      </c>
      <c r="Y65" s="1" t="str">
        <f t="shared" si="14"/>
        <v>0x00,</v>
      </c>
      <c r="Z65" s="1" t="str">
        <f t="shared" si="14"/>
        <v>0x00,</v>
      </c>
      <c r="AA65" s="1" t="str">
        <f t="shared" si="14"/>
        <v>0x40,</v>
      </c>
      <c r="AB65" s="1" t="str">
        <f t="shared" si="14"/>
        <v>0x00,</v>
      </c>
      <c r="AC65" s="1" t="str">
        <f t="shared" si="14"/>
        <v>0x00,</v>
      </c>
      <c r="AD65" s="1" t="str">
        <f t="shared" si="14"/>
        <v>0x00,</v>
      </c>
      <c r="AE65" s="1" t="str">
        <f t="shared" si="14"/>
        <v>0x42,</v>
      </c>
      <c r="AF65" s="1" t="str">
        <f t="shared" si="14"/>
        <v>0x44,</v>
      </c>
      <c r="AG65" s="1" t="str">
        <f t="shared" si="14"/>
        <v>0x00,</v>
      </c>
      <c r="AH65" s="1" t="str">
        <f t="shared" si="14"/>
        <v>0x48,</v>
      </c>
      <c r="AI65" s="1" t="str">
        <f t="shared" si="14"/>
        <v>0x46,</v>
      </c>
      <c r="AJ65" s="1" t="str">
        <f t="shared" si="14"/>
        <v>0x00,</v>
      </c>
      <c r="AK65" s="1" t="str">
        <f t="shared" si="14"/>
        <v>0x00,</v>
      </c>
      <c r="AL65" s="1" t="str">
        <f t="shared" si="14"/>
        <v>0x00,</v>
      </c>
      <c r="AM65" s="1" t="str">
        <f t="shared" si="14"/>
        <v>0x00,</v>
      </c>
      <c r="AN65" s="1" t="str">
        <f t="shared" si="14"/>
        <v>0x00,</v>
      </c>
      <c r="AO65" s="1" t="str">
        <f t="shared" si="14"/>
        <v>0x00,</v>
      </c>
      <c r="AP65" s="1" t="str">
        <f t="shared" si="14"/>
        <v>0x20,</v>
      </c>
      <c r="AQ65" t="s">
        <v>10</v>
      </c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</row>
    <row r="66" spans="2:82" ht="15.75" customHeight="1" x14ac:dyDescent="0.2">
      <c r="B66" t="s">
        <v>11</v>
      </c>
      <c r="C66" s="1" t="str">
        <f>IF(LEFT(C20,1)="X","0x00",IF((0=C20),"0x00","0x"&amp;C20))</f>
        <v>0x20</v>
      </c>
      <c r="D66" s="1" t="str">
        <f t="shared" ref="D66:AP66" si="15">IF(LEFT(D20,1)="X","0x00",IF((0=D20),"0x00","0x"&amp;D20))</f>
        <v>0x20</v>
      </c>
      <c r="E66" s="1" t="str">
        <f t="shared" si="15"/>
        <v>0x20</v>
      </c>
      <c r="F66" s="1" t="str">
        <f t="shared" si="15"/>
        <v>0x20</v>
      </c>
      <c r="G66" s="1" t="str">
        <f t="shared" si="15"/>
        <v>0x20</v>
      </c>
      <c r="H66" s="1" t="str">
        <f t="shared" si="15"/>
        <v>0x20</v>
      </c>
      <c r="I66" s="1" t="str">
        <f t="shared" si="15"/>
        <v>0x20</v>
      </c>
      <c r="J66" s="1" t="str">
        <f t="shared" si="15"/>
        <v>0x20</v>
      </c>
      <c r="K66" s="1" t="str">
        <f t="shared" si="15"/>
        <v>0x20</v>
      </c>
      <c r="L66" s="1" t="str">
        <f t="shared" si="15"/>
        <v>0x20</v>
      </c>
      <c r="M66" s="1" t="str">
        <f t="shared" si="15"/>
        <v>0x20</v>
      </c>
      <c r="N66" s="1" t="str">
        <f t="shared" si="15"/>
        <v>0x20</v>
      </c>
      <c r="O66" s="1" t="str">
        <f t="shared" si="15"/>
        <v>0x20</v>
      </c>
      <c r="P66" s="1" t="str">
        <f t="shared" si="15"/>
        <v>0x20</v>
      </c>
      <c r="Q66" s="1" t="str">
        <f t="shared" si="15"/>
        <v>0x20</v>
      </c>
      <c r="R66" s="1" t="str">
        <f t="shared" si="15"/>
        <v>0x20</v>
      </c>
      <c r="S66" s="1" t="str">
        <f t="shared" si="15"/>
        <v>0x20</v>
      </c>
      <c r="T66" s="1" t="str">
        <f t="shared" si="15"/>
        <v>0x20</v>
      </c>
      <c r="U66" s="1" t="str">
        <f t="shared" si="15"/>
        <v>0x20</v>
      </c>
      <c r="V66" s="1" t="str">
        <f t="shared" si="15"/>
        <v>0x20</v>
      </c>
      <c r="W66" s="1" t="str">
        <f t="shared" si="15"/>
        <v>0x20</v>
      </c>
      <c r="X66" s="1" t="str">
        <f t="shared" si="15"/>
        <v>0x20</v>
      </c>
      <c r="Y66" s="1" t="str">
        <f t="shared" si="15"/>
        <v>0x20</v>
      </c>
      <c r="Z66" s="1" t="str">
        <f t="shared" si="15"/>
        <v>0x20</v>
      </c>
      <c r="AA66" s="1" t="str">
        <f t="shared" si="15"/>
        <v>0x20</v>
      </c>
      <c r="AB66" s="1" t="str">
        <f t="shared" si="15"/>
        <v>0x20</v>
      </c>
      <c r="AC66" s="1" t="str">
        <f t="shared" si="15"/>
        <v>0x20</v>
      </c>
      <c r="AD66" s="1" t="str">
        <f t="shared" si="15"/>
        <v>0x20</v>
      </c>
      <c r="AE66" s="1" t="str">
        <f t="shared" si="15"/>
        <v>0x20</v>
      </c>
      <c r="AF66" s="1" t="str">
        <f t="shared" si="15"/>
        <v>0x20</v>
      </c>
      <c r="AG66" s="1" t="str">
        <f t="shared" si="15"/>
        <v>0x20</v>
      </c>
      <c r="AH66" s="1" t="str">
        <f t="shared" si="15"/>
        <v>0x20</v>
      </c>
      <c r="AI66" s="1" t="str">
        <f t="shared" si="15"/>
        <v>0x20</v>
      </c>
      <c r="AJ66" s="1" t="str">
        <f t="shared" si="15"/>
        <v>0x20</v>
      </c>
      <c r="AK66" s="1" t="str">
        <f t="shared" si="15"/>
        <v>0x20</v>
      </c>
      <c r="AL66" s="1" t="str">
        <f t="shared" si="15"/>
        <v>0x20</v>
      </c>
      <c r="AM66" s="1" t="str">
        <f t="shared" si="15"/>
        <v>0x20</v>
      </c>
      <c r="AN66" s="1" t="str">
        <f t="shared" si="15"/>
        <v>0x20</v>
      </c>
      <c r="AO66" s="1" t="str">
        <f t="shared" si="15"/>
        <v>0x20</v>
      </c>
      <c r="AP66" s="1" t="str">
        <f t="shared" si="15"/>
        <v>0x20</v>
      </c>
      <c r="AQ66" t="s">
        <v>12</v>
      </c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</row>
    <row r="67" spans="2:82" x14ac:dyDescent="0.2">
      <c r="C67" t="s">
        <v>10</v>
      </c>
      <c r="D67" t="s">
        <v>10</v>
      </c>
      <c r="E67" t="s">
        <v>10</v>
      </c>
      <c r="F67" t="s">
        <v>10</v>
      </c>
      <c r="G67" t="s">
        <v>10</v>
      </c>
      <c r="H67" t="s">
        <v>10</v>
      </c>
      <c r="I67" t="s">
        <v>10</v>
      </c>
      <c r="J67" t="s">
        <v>10</v>
      </c>
      <c r="K67" t="s">
        <v>10</v>
      </c>
      <c r="L67" t="s">
        <v>10</v>
      </c>
      <c r="M67" t="s">
        <v>10</v>
      </c>
      <c r="N67" t="s">
        <v>10</v>
      </c>
      <c r="O67" t="s">
        <v>10</v>
      </c>
      <c r="P67" t="s">
        <v>10</v>
      </c>
      <c r="Q67" t="s">
        <v>10</v>
      </c>
      <c r="R67" t="s">
        <v>10</v>
      </c>
      <c r="S67" t="s">
        <v>10</v>
      </c>
      <c r="T67" t="s">
        <v>10</v>
      </c>
      <c r="U67" t="s">
        <v>10</v>
      </c>
      <c r="V67" t="s">
        <v>10</v>
      </c>
      <c r="W67" t="s">
        <v>10</v>
      </c>
      <c r="X67" t="s">
        <v>10</v>
      </c>
      <c r="Y67" t="s">
        <v>10</v>
      </c>
      <c r="Z67" t="s">
        <v>10</v>
      </c>
      <c r="AA67" t="s">
        <v>10</v>
      </c>
      <c r="AB67" t="s">
        <v>10</v>
      </c>
      <c r="AC67" t="s">
        <v>10</v>
      </c>
      <c r="AD67" t="s">
        <v>10</v>
      </c>
      <c r="AE67" t="s">
        <v>10</v>
      </c>
      <c r="AF67" t="s">
        <v>10</v>
      </c>
      <c r="AG67" t="s">
        <v>10</v>
      </c>
      <c r="AH67" t="s">
        <v>10</v>
      </c>
      <c r="AI67" t="s">
        <v>10</v>
      </c>
      <c r="AJ67" t="s">
        <v>10</v>
      </c>
      <c r="AK67" t="s">
        <v>10</v>
      </c>
      <c r="AL67" t="s">
        <v>10</v>
      </c>
      <c r="AM67" t="s">
        <v>10</v>
      </c>
      <c r="AN67" t="s">
        <v>10</v>
      </c>
      <c r="AO67" t="s">
        <v>10</v>
      </c>
      <c r="AP67" t="s">
        <v>15</v>
      </c>
      <c r="AQ67" t="s">
        <v>14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0</xdr:col>
                <xdr:colOff>180975</xdr:colOff>
                <xdr:row>1</xdr:row>
                <xdr:rowOff>104775</xdr:rowOff>
              </from>
              <to>
                <xdr:col>1</xdr:col>
                <xdr:colOff>323850</xdr:colOff>
                <xdr:row>5</xdr:row>
                <xdr:rowOff>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41"/>
  <sheetViews>
    <sheetView workbookViewId="0">
      <selection activeCell="E10" sqref="E10"/>
    </sheetView>
  </sheetViews>
  <sheetFormatPr defaultRowHeight="14.25" x14ac:dyDescent="0.2"/>
  <sheetData>
    <row r="3" spans="2:4" x14ac:dyDescent="0.2">
      <c r="B3">
        <v>1</v>
      </c>
      <c r="D3" t="s">
        <v>0</v>
      </c>
    </row>
    <row r="4" spans="2:4" x14ac:dyDescent="0.2">
      <c r="B4">
        <v>2</v>
      </c>
      <c r="D4" t="s">
        <v>36</v>
      </c>
    </row>
    <row r="5" spans="2:4" x14ac:dyDescent="0.2">
      <c r="B5">
        <v>3</v>
      </c>
      <c r="D5" t="s">
        <v>37</v>
      </c>
    </row>
    <row r="6" spans="2:4" x14ac:dyDescent="0.2">
      <c r="B6">
        <v>4</v>
      </c>
      <c r="D6" t="s">
        <v>38</v>
      </c>
    </row>
    <row r="7" spans="2:4" x14ac:dyDescent="0.2">
      <c r="B7">
        <v>5</v>
      </c>
    </row>
    <row r="8" spans="2:4" x14ac:dyDescent="0.2">
      <c r="B8">
        <v>6</v>
      </c>
    </row>
    <row r="9" spans="2:4" x14ac:dyDescent="0.2">
      <c r="B9">
        <v>7</v>
      </c>
    </row>
    <row r="10" spans="2:4" x14ac:dyDescent="0.2">
      <c r="B10">
        <v>8</v>
      </c>
    </row>
    <row r="11" spans="2:4" x14ac:dyDescent="0.2">
      <c r="B11">
        <v>9</v>
      </c>
    </row>
    <row r="12" spans="2:4" x14ac:dyDescent="0.2">
      <c r="B12" t="s">
        <v>24</v>
      </c>
    </row>
    <row r="13" spans="2:4" x14ac:dyDescent="0.2">
      <c r="B13" t="s">
        <v>25</v>
      </c>
    </row>
    <row r="14" spans="2:4" x14ac:dyDescent="0.2">
      <c r="B14" t="s">
        <v>26</v>
      </c>
    </row>
    <row r="15" spans="2:4" x14ac:dyDescent="0.2">
      <c r="B15" t="s">
        <v>27</v>
      </c>
    </row>
    <row r="16" spans="2:4" x14ac:dyDescent="0.2">
      <c r="B16" t="s">
        <v>28</v>
      </c>
    </row>
    <row r="17" spans="2:2" x14ac:dyDescent="0.2">
      <c r="B17" t="s">
        <v>29</v>
      </c>
    </row>
    <row r="18" spans="2:2" x14ac:dyDescent="0.2">
      <c r="B18">
        <v>10</v>
      </c>
    </row>
    <row r="19" spans="2:2" x14ac:dyDescent="0.2">
      <c r="B19">
        <v>11</v>
      </c>
    </row>
    <row r="20" spans="2:2" x14ac:dyDescent="0.2">
      <c r="B20">
        <v>12</v>
      </c>
    </row>
    <row r="21" spans="2:2" x14ac:dyDescent="0.2">
      <c r="B21">
        <v>13</v>
      </c>
    </row>
    <row r="22" spans="2:2" x14ac:dyDescent="0.2">
      <c r="B22">
        <v>14</v>
      </c>
    </row>
    <row r="23" spans="2:2" x14ac:dyDescent="0.2">
      <c r="B23">
        <v>15</v>
      </c>
    </row>
    <row r="24" spans="2:2" x14ac:dyDescent="0.2">
      <c r="B24">
        <v>16</v>
      </c>
    </row>
    <row r="25" spans="2:2" x14ac:dyDescent="0.2">
      <c r="B25">
        <v>17</v>
      </c>
    </row>
    <row r="26" spans="2:2" x14ac:dyDescent="0.2">
      <c r="B26">
        <v>18</v>
      </c>
    </row>
    <row r="27" spans="2:2" x14ac:dyDescent="0.2">
      <c r="B27">
        <v>19</v>
      </c>
    </row>
    <row r="28" spans="2:2" x14ac:dyDescent="0.2">
      <c r="B28" t="s">
        <v>30</v>
      </c>
    </row>
    <row r="29" spans="2:2" x14ac:dyDescent="0.2">
      <c r="B29" t="s">
        <v>31</v>
      </c>
    </row>
    <row r="30" spans="2:2" x14ac:dyDescent="0.2">
      <c r="B30" t="s">
        <v>32</v>
      </c>
    </row>
    <row r="31" spans="2:2" x14ac:dyDescent="0.2">
      <c r="B31" t="s">
        <v>33</v>
      </c>
    </row>
    <row r="32" spans="2:2" x14ac:dyDescent="0.2">
      <c r="B32" t="s">
        <v>34</v>
      </c>
    </row>
    <row r="33" spans="2:4" x14ac:dyDescent="0.2">
      <c r="B33" t="s">
        <v>35</v>
      </c>
    </row>
    <row r="34" spans="2:4" x14ac:dyDescent="0.2">
      <c r="B34">
        <v>20</v>
      </c>
      <c r="D34" t="s">
        <v>1</v>
      </c>
    </row>
    <row r="35" spans="2:4" x14ac:dyDescent="0.2">
      <c r="B35">
        <v>21</v>
      </c>
      <c r="D35" t="s">
        <v>16</v>
      </c>
    </row>
    <row r="36" spans="2:4" x14ac:dyDescent="0.2">
      <c r="B36">
        <v>22</v>
      </c>
      <c r="D36" t="s">
        <v>17</v>
      </c>
    </row>
    <row r="37" spans="2:4" x14ac:dyDescent="0.2">
      <c r="B37">
        <v>23</v>
      </c>
      <c r="D37" t="s">
        <v>17</v>
      </c>
    </row>
    <row r="38" spans="2:4" x14ac:dyDescent="0.2">
      <c r="B38">
        <v>24</v>
      </c>
      <c r="D38" t="s">
        <v>17</v>
      </c>
    </row>
    <row r="39" spans="2:4" x14ac:dyDescent="0.2">
      <c r="B39">
        <v>25</v>
      </c>
      <c r="D39" t="s">
        <v>17</v>
      </c>
    </row>
    <row r="40" spans="2:4" x14ac:dyDescent="0.2">
      <c r="B40">
        <v>26</v>
      </c>
    </row>
    <row r="41" spans="2:4" x14ac:dyDescent="0.2">
      <c r="B41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rrayOfDocumentManager.DocumentInfo xmlns:i="http://www.w3.org/2001/XMLSchema-instance" xmlns="http://schemas.datacontract.org/2004/07/IGT.Tools.GameDataEditor.PaytableExporter"/>
</file>

<file path=customXml/itemProps1.xml><?xml version="1.0" encoding="utf-8"?>
<ds:datastoreItem xmlns:ds="http://schemas.openxmlformats.org/officeDocument/2006/customXml" ds:itemID="{7B43B33C-68B7-40EF-BF4B-959894FAD2EA}">
  <ds:schemaRefs>
    <ds:schemaRef ds:uri="http://schemas.datacontract.org/2004/07/IGT.Tools.GameDataEditor.PaytableExporter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Map</vt:lpstr>
      <vt:lpstr>Items</vt:lpstr>
    </vt:vector>
  </TitlesOfParts>
  <Company>IGT PLC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Tukis.Wallace</dc:creator>
  <cp:lastModifiedBy>Tukis.Wallace</cp:lastModifiedBy>
  <dcterms:created xsi:type="dcterms:W3CDTF">2017-08-31T16:38:51Z</dcterms:created>
  <dcterms:modified xsi:type="dcterms:W3CDTF">2017-09-25T20:42:58Z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Directory">
    <vt:lpwstr>{7B43B33C-68B7-40EF-BF4B-959894FAD2EA}</vt:lpwstr>
  </property>
</Properties>
</file>